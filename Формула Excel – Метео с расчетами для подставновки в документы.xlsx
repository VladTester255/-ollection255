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grams\Эксельки с формулами\"/>
    </mc:Choice>
  </mc:AlternateContent>
  <xr:revisionPtr revIDLastSave="0" documentId="13_ncr:1_{F6F4BA91-E827-4C6D-8D69-DFF65D7EDE0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ТКА ПКЛ" sheetId="8" r:id="rId1"/>
    <sheet name="ТКА ПКЛкорректир" sheetId="1" r:id="rId2"/>
    <sheet name="Архив Погоды rp5" sheetId="6" r:id="rId3"/>
    <sheet name="Мете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/>
  <c r="Q3" i="10"/>
  <c r="X3" i="10"/>
  <c r="Y3" i="10" s="1"/>
  <c r="W3" i="10"/>
  <c r="AA3" i="10" s="1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17" i="8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3" i="10"/>
  <c r="Z3" i="10" l="1"/>
  <c r="H83" i="10"/>
  <c r="G83" i="10"/>
  <c r="H82" i="10"/>
  <c r="G82" i="10"/>
  <c r="H81" i="10"/>
  <c r="G81" i="10"/>
  <c r="H80" i="10"/>
  <c r="G80" i="10"/>
  <c r="H79" i="10"/>
  <c r="G79" i="10"/>
  <c r="H78" i="10"/>
  <c r="G78" i="10"/>
  <c r="H77" i="10"/>
  <c r="G77" i="10"/>
  <c r="H76" i="10"/>
  <c r="G76" i="10"/>
  <c r="H75" i="10"/>
  <c r="G75" i="10"/>
  <c r="H74" i="10"/>
  <c r="G74" i="10"/>
  <c r="H73" i="10"/>
  <c r="G73" i="10"/>
  <c r="H72" i="10"/>
  <c r="G72" i="10"/>
  <c r="H71" i="10"/>
  <c r="G71" i="10"/>
  <c r="H70" i="10"/>
  <c r="G70" i="10"/>
  <c r="H69" i="10"/>
  <c r="G69" i="10"/>
  <c r="H68" i="10"/>
  <c r="G68" i="10"/>
  <c r="H67" i="10"/>
  <c r="G67" i="10"/>
  <c r="H66" i="10"/>
  <c r="G66" i="10"/>
  <c r="H65" i="10"/>
  <c r="G65" i="10"/>
  <c r="H64" i="10"/>
  <c r="G64" i="10"/>
  <c r="H63" i="10"/>
  <c r="G63" i="10"/>
  <c r="H62" i="10"/>
  <c r="G62" i="10"/>
  <c r="H61" i="10"/>
  <c r="G61" i="10"/>
  <c r="H60" i="10"/>
  <c r="G60" i="10"/>
  <c r="H59" i="10"/>
  <c r="G59" i="10"/>
  <c r="H58" i="10"/>
  <c r="G58" i="10"/>
  <c r="H57" i="10"/>
  <c r="G57" i="10"/>
  <c r="H56" i="10"/>
  <c r="G56" i="10"/>
  <c r="H55" i="10"/>
  <c r="G55" i="10"/>
  <c r="H54" i="10"/>
  <c r="G54" i="10"/>
  <c r="H53" i="10"/>
  <c r="G53" i="10"/>
  <c r="H52" i="10"/>
  <c r="G52" i="10"/>
  <c r="H51" i="10"/>
  <c r="G51" i="10"/>
  <c r="H50" i="10"/>
  <c r="G50" i="10"/>
  <c r="H49" i="10"/>
  <c r="G49" i="10"/>
  <c r="H48" i="10"/>
  <c r="G48" i="10"/>
  <c r="H47" i="10"/>
  <c r="G47" i="10"/>
  <c r="H46" i="10"/>
  <c r="G46" i="10"/>
  <c r="H45" i="10"/>
  <c r="G45" i="10"/>
  <c r="H44" i="10"/>
  <c r="G44" i="10"/>
  <c r="H43" i="10"/>
  <c r="G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H7" i="10"/>
  <c r="G7" i="10"/>
  <c r="H6" i="10"/>
  <c r="G6" i="10"/>
  <c r="H5" i="10"/>
  <c r="G5" i="10"/>
  <c r="H4" i="10"/>
  <c r="G4" i="10"/>
  <c r="H3" i="10"/>
  <c r="G3" i="10"/>
  <c r="K3" i="10" s="1" a="1"/>
  <c r="K3" i="10" s="1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8" i="6"/>
  <c r="K17" i="8" a="1"/>
  <c r="K17" i="8" s="1"/>
  <c r="M17" i="8" s="1"/>
  <c r="K18" i="1"/>
  <c r="J18" i="1"/>
  <c r="L18" i="1" s="1"/>
  <c r="M18" i="8" l="1"/>
  <c r="M19" i="8"/>
  <c r="O5" i="10"/>
  <c r="N5" i="10"/>
  <c r="L5" i="10"/>
  <c r="M5" i="10"/>
  <c r="J5" i="10"/>
  <c r="M4" i="10"/>
  <c r="J4" i="10"/>
  <c r="N4" i="10"/>
  <c r="O4" i="10"/>
  <c r="L4" i="10"/>
  <c r="L3" i="10"/>
  <c r="L17" i="8"/>
  <c r="N17" i="8"/>
  <c r="N18" i="8"/>
  <c r="O18" i="8"/>
  <c r="L19" i="8"/>
  <c r="P17" i="8"/>
  <c r="L18" i="8"/>
  <c r="P19" i="8"/>
  <c r="N19" i="8"/>
  <c r="O17" i="8"/>
  <c r="O19" i="8"/>
  <c r="P18" i="8"/>
  <c r="J19" i="8"/>
  <c r="J17" i="8"/>
  <c r="J18" i="8"/>
  <c r="M18" i="1"/>
  <c r="N18" i="1" s="1"/>
  <c r="O18" i="1" s="1"/>
  <c r="M32" i="1"/>
  <c r="N32" i="1" s="1"/>
  <c r="O32" i="1" s="1"/>
  <c r="M42" i="1"/>
  <c r="N42" i="1" s="1"/>
  <c r="O42" i="1" s="1"/>
  <c r="M43" i="1"/>
  <c r="N43" i="1" s="1"/>
  <c r="O43" i="1" s="1"/>
  <c r="M44" i="1"/>
  <c r="N44" i="1" s="1"/>
  <c r="O44" i="1" s="1"/>
  <c r="M19" i="1"/>
  <c r="N19" i="1" s="1"/>
  <c r="O19" i="1" s="1"/>
  <c r="M45" i="1"/>
  <c r="N45" i="1" s="1"/>
  <c r="O45" i="1" s="1"/>
  <c r="M20" i="1"/>
  <c r="N20" i="1" s="1"/>
  <c r="O20" i="1" s="1"/>
  <c r="M21" i="1"/>
  <c r="N21" i="1" s="1"/>
  <c r="O21" i="1" s="1"/>
  <c r="M29" i="1"/>
  <c r="N29" i="1" s="1"/>
  <c r="O29" i="1" s="1"/>
  <c r="M30" i="1"/>
  <c r="N30" i="1" s="1"/>
  <c r="O30" i="1" s="1"/>
  <c r="M31" i="1"/>
  <c r="N31" i="1" s="1"/>
  <c r="O31" i="1" s="1"/>
  <c r="M33" i="1"/>
  <c r="N33" i="1" s="1"/>
  <c r="O33" i="1" s="1"/>
  <c r="M41" i="1"/>
  <c r="N41" i="1" s="1"/>
  <c r="O41" i="1" s="1"/>
  <c r="M17" i="1"/>
  <c r="N17" i="1" s="1"/>
  <c r="M50" i="1"/>
  <c r="N50" i="1" s="1"/>
  <c r="O50" i="1" s="1"/>
  <c r="M38" i="1"/>
  <c r="N38" i="1" s="1"/>
  <c r="O38" i="1" s="1"/>
  <c r="M26" i="1"/>
  <c r="N26" i="1" s="1"/>
  <c r="O26" i="1" s="1"/>
  <c r="M49" i="1"/>
  <c r="N49" i="1" s="1"/>
  <c r="O49" i="1" s="1"/>
  <c r="M37" i="1"/>
  <c r="N37" i="1" s="1"/>
  <c r="O37" i="1" s="1"/>
  <c r="M25" i="1"/>
  <c r="N25" i="1" s="1"/>
  <c r="O25" i="1" s="1"/>
  <c r="M48" i="1"/>
  <c r="N48" i="1" s="1"/>
  <c r="O48" i="1" s="1"/>
  <c r="M36" i="1"/>
  <c r="N36" i="1" s="1"/>
  <c r="O36" i="1" s="1"/>
  <c r="M24" i="1"/>
  <c r="N24" i="1" s="1"/>
  <c r="O24" i="1" s="1"/>
  <c r="M47" i="1"/>
  <c r="N47" i="1" s="1"/>
  <c r="O47" i="1" s="1"/>
  <c r="M35" i="1"/>
  <c r="N35" i="1" s="1"/>
  <c r="O35" i="1" s="1"/>
  <c r="M23" i="1"/>
  <c r="N23" i="1" s="1"/>
  <c r="O23" i="1" s="1"/>
  <c r="M52" i="1"/>
  <c r="N52" i="1" s="1"/>
  <c r="O52" i="1" s="1"/>
  <c r="M40" i="1"/>
  <c r="N40" i="1" s="1"/>
  <c r="O40" i="1" s="1"/>
  <c r="M28" i="1"/>
  <c r="N28" i="1" s="1"/>
  <c r="O28" i="1" s="1"/>
  <c r="M51" i="1"/>
  <c r="N51" i="1" s="1"/>
  <c r="O51" i="1" s="1"/>
  <c r="M39" i="1"/>
  <c r="N39" i="1" s="1"/>
  <c r="O39" i="1" s="1"/>
  <c r="M27" i="1"/>
  <c r="N27" i="1" s="1"/>
  <c r="O27" i="1" s="1"/>
  <c r="M46" i="1"/>
  <c r="N46" i="1" s="1"/>
  <c r="O46" i="1" s="1"/>
  <c r="M34" i="1"/>
  <c r="N34" i="1" s="1"/>
  <c r="O34" i="1" s="1"/>
  <c r="M22" i="1"/>
  <c r="N22" i="1" s="1"/>
  <c r="O22" i="1" s="1"/>
  <c r="J3" i="10" l="1"/>
  <c r="N3" i="10"/>
  <c r="O3" i="10"/>
  <c r="M3" i="10"/>
  <c r="O17" i="1"/>
  <c r="Q17" i="1" s="1"/>
  <c r="T17" i="1" a="1"/>
  <c r="X19" i="1" l="1"/>
  <c r="W18" i="1"/>
  <c r="W19" i="1"/>
  <c r="V18" i="1"/>
  <c r="V19" i="1"/>
  <c r="U18" i="1"/>
  <c r="U19" i="1"/>
  <c r="X18" i="1"/>
  <c r="Y18" i="1"/>
  <c r="Y19" i="1"/>
  <c r="U3" i="10"/>
  <c r="T3" i="10"/>
  <c r="S3" i="10"/>
  <c r="T17" i="1"/>
  <c r="S18" i="1"/>
  <c r="S19" i="1"/>
  <c r="X17" i="1" l="1"/>
  <c r="W17" i="1"/>
  <c r="Y17" i="1"/>
  <c r="V17" i="1"/>
  <c r="U17" i="1"/>
  <c r="S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<sst xmlns="http://schemas.openxmlformats.org/spreadsheetml/2006/main" count="577" uniqueCount="264">
  <si>
    <t>№ прибора</t>
  </si>
  <si>
    <t>Начало измерений</t>
  </si>
  <si>
    <t>Конец измерений</t>
  </si>
  <si>
    <t>Количество измерений</t>
  </si>
  <si>
    <t>Максимальная темепература, °C</t>
  </si>
  <si>
    <t>Средняя темепература, °C</t>
  </si>
  <si>
    <t>Минимальная темепература, °C</t>
  </si>
  <si>
    <t>Максимальная влажность от., %</t>
  </si>
  <si>
    <t>Средняя влажность от.,%</t>
  </si>
  <si>
    <t>Минимальная влажность от., %</t>
  </si>
  <si>
    <t>Максимальное давление, кПа</t>
  </si>
  <si>
    <t>Среднее давление, кПа</t>
  </si>
  <si>
    <t>Минимальное давление, кПа</t>
  </si>
  <si>
    <t>#</t>
  </si>
  <si>
    <t>Дата</t>
  </si>
  <si>
    <t>Время</t>
  </si>
  <si>
    <t>Температура, °C</t>
  </si>
  <si>
    <t>Влажность от., %</t>
  </si>
  <si>
    <t>Давление, кПа</t>
  </si>
  <si>
    <t>Влажность аб., г/м3</t>
  </si>
  <si>
    <t>К-во замеров</t>
  </si>
  <si>
    <r>
      <t xml:space="preserve">Метролог: </t>
    </r>
    <r>
      <rPr>
        <u/>
        <sz val="11"/>
        <color theme="1"/>
        <rFont val="Calibri"/>
        <family val="2"/>
        <charset val="204"/>
        <scheme val="minor"/>
      </rPr>
      <t>Панасенко В.М.</t>
    </r>
  </si>
  <si>
    <t>Место проведения испытания:</t>
  </si>
  <si>
    <t>Время от/до за день</t>
  </si>
  <si>
    <t>Этот столбец ручками править</t>
  </si>
  <si>
    <t>Эталон даты</t>
  </si>
  <si>
    <t>Эталон времени</t>
  </si>
  <si>
    <t>Корректирующий коэффициент</t>
  </si>
  <si>
    <t>КДата</t>
  </si>
  <si>
    <t>КВремя</t>
  </si>
  <si>
    <t>T</t>
  </si>
  <si>
    <t>U</t>
  </si>
  <si>
    <t>Корректированные дата и время</t>
  </si>
  <si>
    <t>Раньше пробел был простой только для удобства вида а не для вставки.</t>
  </si>
  <si>
    <t>Устарело (Вставить в ворд и заменить все "$%$" на "^s" (неразрывный пробел).) И (=ПОДСТАВИТЬ(P7;"$%$";" ")).</t>
  </si>
  <si>
    <t>Везде кроме перед до стоит неразрывный пробел комбинацией клавиш ALT кода с цифрами NUM LOCK "alt+255".</t>
  </si>
  <si>
    <t>Скопировать таблицу ниже в новый экспорт ТКА и заменить цифры 17 и 52 во всех первых с верху формулах (ячейках) на новый диапозон</t>
  </si>
  <si>
    <t>измерений и после замены обновить формулы ниже мышкой кроме столбца "Дата". Ее надо просто выделить и нажать энтер т.к. это массив.</t>
  </si>
  <si>
    <t>Вручную вписать точные дату и время и все откорректируется по формулам.</t>
  </si>
  <si>
    <t>с 14:01:50 по 16:46:49</t>
  </si>
  <si>
    <t>от плюс 23,8 °C до плюс 25,5 °C</t>
  </si>
  <si>
    <t>от 38,4 % до 49,4 %</t>
  </si>
  <si>
    <t>от 98,2 до 98,3 кПа</t>
  </si>
  <si>
    <t>от 8,9 до 10,6 г/м3</t>
  </si>
  <si>
    <t>с 13:40:11 по 16:10:11</t>
  </si>
  <si>
    <t>от плюс 9,2 °C до плюс 11,7 °C</t>
  </si>
  <si>
    <t>от 55,8 % до 69,3 %</t>
  </si>
  <si>
    <t>от 100,3 до 100,4 кПа</t>
  </si>
  <si>
    <t>от 5,8 до 6,2 г/м3</t>
  </si>
  <si>
    <t>с 10:00:42 по 14:29:06</t>
  </si>
  <si>
    <t>от плюс 8,0 °C до плюс 10,0 °C</t>
  </si>
  <si>
    <t>от 53,3 % до 68,7 %</t>
  </si>
  <si>
    <t>от 100,5 до 100,7 кПа</t>
  </si>
  <si>
    <t>от 4,5 до 5,8 г/м3</t>
  </si>
  <si>
    <t>Если надо внести правки в значения скопировать и вставить только значения ниже и там править сколько угодно.</t>
  </si>
  <si>
    <t>Для ручных правок</t>
  </si>
  <si>
    <t>Для корректировки дат надо раскрыть скрытые столбцы слева</t>
  </si>
  <si>
    <t># Метеостанция Брянск (аэропорт), Россия, WMO_ID=26898, выборка с 09.12.2024 по 12.12.2024, все дни</t>
  </si>
  <si>
    <t># Кодировка: UTF-8</t>
  </si>
  <si>
    <t># Информация предоставлена сайтом "Расписание Погоды", rp5.ru</t>
  </si>
  <si>
    <t># Пожалуйста, при использовании данных, любезно указывайте названный сайт.</t>
  </si>
  <si>
    <t># Обозначения метеопараметров см. по адресу http://rp5.ru/archive.php?wmo_id=26898&amp;lang=ru</t>
  </si>
  <si>
    <t>Местное время в Брянске (аэропорт)</t>
  </si>
  <si>
    <t>Po</t>
  </si>
  <si>
    <t>P</t>
  </si>
  <si>
    <t>Pa</t>
  </si>
  <si>
    <t>DD</t>
  </si>
  <si>
    <t>Ff</t>
  </si>
  <si>
    <t>ff10</t>
  </si>
  <si>
    <t>ff3</t>
  </si>
  <si>
    <t>N</t>
  </si>
  <si>
    <t>WW</t>
  </si>
  <si>
    <t>W1</t>
  </si>
  <si>
    <t>W2</t>
  </si>
  <si>
    <t>Tn</t>
  </si>
  <si>
    <t>Tx</t>
  </si>
  <si>
    <t>Cl</t>
  </si>
  <si>
    <t>Nh</t>
  </si>
  <si>
    <t>H</t>
  </si>
  <si>
    <t>Cm</t>
  </si>
  <si>
    <t>Ch</t>
  </si>
  <si>
    <t>VV</t>
  </si>
  <si>
    <t>Td</t>
  </si>
  <si>
    <t>RRR</t>
  </si>
  <si>
    <t>tR</t>
  </si>
  <si>
    <t>E</t>
  </si>
  <si>
    <t>Tg</t>
  </si>
  <si>
    <t>E'</t>
  </si>
  <si>
    <t>sss</t>
  </si>
  <si>
    <t>12.12.2024 21:00</t>
  </si>
  <si>
    <t>Ветер, дующий с запада</t>
  </si>
  <si>
    <t>90  или более, но не 100%</t>
  </si>
  <si>
    <t xml:space="preserve"> </t>
  </si>
  <si>
    <t>Слоисто-кучевые, образовавшиеся не из кучевых.</t>
  </si>
  <si>
    <t>600-1000</t>
  </si>
  <si>
    <t>Высококучевых, высокослоистых или слоисто-дождевых облаков нет.</t>
  </si>
  <si>
    <t>Перистых, перисто-кучевых или перисто-слоистых нет.</t>
  </si>
  <si>
    <t>Осадков нет</t>
  </si>
  <si>
    <t>12.12.2024 18:00</t>
  </si>
  <si>
    <t>70 – 80%.</t>
  </si>
  <si>
    <t>Слоисто-кучевых, слоистых, кучевых или кучево-дождевых облаков нет.</t>
  </si>
  <si>
    <t>2500 или более, или облаков нет.</t>
  </si>
  <si>
    <t>Высококучевые просвечивающие, расположенные на одном уровне.</t>
  </si>
  <si>
    <t>12.12.2024 15:00</t>
  </si>
  <si>
    <t>Ветер, дующий с западо-северо-запада</t>
  </si>
  <si>
    <t>100%.</t>
  </si>
  <si>
    <t>Высококучевые просвечивающие, полосами, либо один или несколько слоев высококучевых просвечивающих, распространяющихся по небу; эти высококучевые в целом уплотняются.</t>
  </si>
  <si>
    <t>12.12.2024 12:00</t>
  </si>
  <si>
    <t>50%.</t>
  </si>
  <si>
    <t>12.12.2024 09:00</t>
  </si>
  <si>
    <t>40%.</t>
  </si>
  <si>
    <t>Ровный слой сухого рассыпчатого снега покрывает поверхность почвы полностью.</t>
  </si>
  <si>
    <t>12.12.2024 06:00</t>
  </si>
  <si>
    <t>Ветер, дующий с северо-северо-запада</t>
  </si>
  <si>
    <t>Кучево-дождевые волокнистые (часто с наковальней), либо с кучево-дождевыми лысыми, кучевыми, слоистыми, разорванно-дождевыми, либо без них.</t>
  </si>
  <si>
    <t>300-600</t>
  </si>
  <si>
    <t>12.12.2024 03:00</t>
  </si>
  <si>
    <t xml:space="preserve">Дымка. </t>
  </si>
  <si>
    <t>Ливень (ливни).</t>
  </si>
  <si>
    <t>Облака покрывали более половины неба в течение всего соответствующего периода.</t>
  </si>
  <si>
    <t>12.12.2024 00:00</t>
  </si>
  <si>
    <t xml:space="preserve">Ливневый снег слабый в срок наблюдения или за последний час. </t>
  </si>
  <si>
    <t>11.12.2024 21:00</t>
  </si>
  <si>
    <t>11.12.2024 18:00</t>
  </si>
  <si>
    <t>11.12.2024 15:00</t>
  </si>
  <si>
    <t>Слоистые туманообразные или слоистые разорванные, либо те и другие, но не относящиеся к облакам плохой погоды.</t>
  </si>
  <si>
    <t>11.12.2024 12:00</t>
  </si>
  <si>
    <t>11.12.2024 09:00</t>
  </si>
  <si>
    <t>11.12.2024 06:00</t>
  </si>
  <si>
    <t>Снег или дождь со снегом.</t>
  </si>
  <si>
    <t>11.12.2024 03:00</t>
  </si>
  <si>
    <t>Ветер, дующий с северо-востока</t>
  </si>
  <si>
    <t xml:space="preserve">Снег непрерывный слабый в срок наблюдения. </t>
  </si>
  <si>
    <t>Слоистые разорванные или кучевые разорванные облака плохой погоды, либо те и другие вместе (разорванно-дождевые); обычно расположены под слоистыми или слоисто-дождевыми облаками.</t>
  </si>
  <si>
    <t>Высокослоистые непросвечивающие или слоисто-дождевые.</t>
  </si>
  <si>
    <t>11.12.2024 00:00</t>
  </si>
  <si>
    <t>10.12.2024 21:00</t>
  </si>
  <si>
    <t>Морось.</t>
  </si>
  <si>
    <t>10.12.2024 18:00</t>
  </si>
  <si>
    <t>10.12.2024 15:00</t>
  </si>
  <si>
    <t>10.12.2024 12:00</t>
  </si>
  <si>
    <t>Ветер, дующий с востоко-северо-востока</t>
  </si>
  <si>
    <t>10.12.2024 09:00</t>
  </si>
  <si>
    <t>Ветер, дующий с востока</t>
  </si>
  <si>
    <t>Туман или ледяной туман или сильная мгла.</t>
  </si>
  <si>
    <t>200-300</t>
  </si>
  <si>
    <t>10.12.2024 06:00</t>
  </si>
  <si>
    <t>Небо не видно из-за тумана и/или других метеорологических явлений.</t>
  </si>
  <si>
    <t xml:space="preserve">Морось замерзающая слабая. </t>
  </si>
  <si>
    <t>Следы осадков</t>
  </si>
  <si>
    <t>10.12.2024 03:00</t>
  </si>
  <si>
    <t>100-200</t>
  </si>
  <si>
    <t>10.12.2024 00:00</t>
  </si>
  <si>
    <t>09.12.2024 21:00</t>
  </si>
  <si>
    <t>09.12.2024 18:00</t>
  </si>
  <si>
    <t xml:space="preserve">Снег неливневый. </t>
  </si>
  <si>
    <t>09.12.2024 15:00</t>
  </si>
  <si>
    <t>Ветер, дующий с востоко-юго-востока</t>
  </si>
  <si>
    <t>09.12.2024 12:00</t>
  </si>
  <si>
    <t>09.12.2024 09:00</t>
  </si>
  <si>
    <t>Ветер, дующий с юго-востока</t>
  </si>
  <si>
    <t>Ровный слой слежавшегося или мокрого снега покрывает поверхность почвы полностью.</t>
  </si>
  <si>
    <t>09.12.2024 06:00</t>
  </si>
  <si>
    <t>Ветер, дующий с юго-юго-востока</t>
  </si>
  <si>
    <t>09.12.2024 03:00</t>
  </si>
  <si>
    <t>09.12.2024 00:00</t>
  </si>
  <si>
    <t>Местное время</t>
  </si>
  <si>
    <t>Удалить не подходящиее время работы</t>
  </si>
  <si>
    <t>Метео из РП5</t>
  </si>
  <si>
    <t>Диапазоны дат</t>
  </si>
  <si>
    <t>Даты</t>
  </si>
  <si>
    <t>Температура, °C</t>
  </si>
  <si>
    <t>Влажность от., %</t>
  </si>
  <si>
    <t>Давление, кПа</t>
  </si>
  <si>
    <t>Начальная дата</t>
  </si>
  <si>
    <t>Конечная дата</t>
  </si>
  <si>
    <t>26.02.2026 17:00</t>
  </si>
  <si>
    <t>26.02.2026 16:30</t>
  </si>
  <si>
    <t>26.02.2026 16:00</t>
  </si>
  <si>
    <t>26.02.2026 15:30</t>
  </si>
  <si>
    <t>26.02.2026 15:00</t>
  </si>
  <si>
    <t>26.02.2026 14:30</t>
  </si>
  <si>
    <t>26.02.2026 14:00</t>
  </si>
  <si>
    <t>26.02.2026 13:30</t>
  </si>
  <si>
    <t>26.02.2026 13:15</t>
  </si>
  <si>
    <t>26.02.2026 13:00</t>
  </si>
  <si>
    <t>26.02.2026 12:46</t>
  </si>
  <si>
    <t>26.02.2026 12:35</t>
  </si>
  <si>
    <t>26.02.2026 12:30</t>
  </si>
  <si>
    <t>26.02.2026 12:00</t>
  </si>
  <si>
    <t>26.02.2026 11:30</t>
  </si>
  <si>
    <t>26.02.2026 11:00</t>
  </si>
  <si>
    <t>26.02.2026 10:30</t>
  </si>
  <si>
    <t>26.02.2026 10:00</t>
  </si>
  <si>
    <t>26.02.2026 09:30</t>
  </si>
  <si>
    <t>26.02.2026 09:00</t>
  </si>
  <si>
    <t>26.02.2026 08:46</t>
  </si>
  <si>
    <t>26.02.2026 08:30</t>
  </si>
  <si>
    <t>26.02.2026 08:00</t>
  </si>
  <si>
    <t>25.02.2026 17:30</t>
  </si>
  <si>
    <t>25.02.2026 17:00</t>
  </si>
  <si>
    <t>25.02.2026 16:30</t>
  </si>
  <si>
    <t>25.02.2026 16:00</t>
  </si>
  <si>
    <t>25.02.2026 15:30</t>
  </si>
  <si>
    <t>25.02.2026 15:00</t>
  </si>
  <si>
    <t>25.02.2026 14:30</t>
  </si>
  <si>
    <t>25.02.2026 14:00</t>
  </si>
  <si>
    <t>25.02.2026 13:30</t>
  </si>
  <si>
    <t>25.02.2026 13:00</t>
  </si>
  <si>
    <t>25.02.2026 12:50</t>
  </si>
  <si>
    <t>25.02.2026 12:30</t>
  </si>
  <si>
    <t>25.02.2026 12:00</t>
  </si>
  <si>
    <t>25.02.2026 11:30</t>
  </si>
  <si>
    <t>25.02.2026 11:00</t>
  </si>
  <si>
    <t>25.02.2026 10:30</t>
  </si>
  <si>
    <t>25.02.2026 10:27</t>
  </si>
  <si>
    <t>25.02.2026 10:15</t>
  </si>
  <si>
    <t>25.02.2026 10:00</t>
  </si>
  <si>
    <t>25.02.2026 09:57</t>
  </si>
  <si>
    <t>25.02.2026 09:46</t>
  </si>
  <si>
    <t>25.02.2026 09:30</t>
  </si>
  <si>
    <t>25.02.2026 09:14</t>
  </si>
  <si>
    <t>25.02.2026 09:12</t>
  </si>
  <si>
    <t>25.02.2026 09:00</t>
  </si>
  <si>
    <t>25.02.2026 08:55</t>
  </si>
  <si>
    <t>25.02.2026 08:30</t>
  </si>
  <si>
    <t>25.02.2026 08:00</t>
  </si>
  <si>
    <t>24.02.2026 17:30</t>
  </si>
  <si>
    <t>24.02.2026 17:00</t>
  </si>
  <si>
    <t>24.02.2026 16:30</t>
  </si>
  <si>
    <t>24.02.2026 16:00</t>
  </si>
  <si>
    <t>24.02.2026 15:30</t>
  </si>
  <si>
    <t>24.02.2026 15:00</t>
  </si>
  <si>
    <t>24.02.2026 14:30</t>
  </si>
  <si>
    <t>24.02.2026 14:00</t>
  </si>
  <si>
    <t>24.02.2026 13:30</t>
  </si>
  <si>
    <t>24.02.2026 13:00</t>
  </si>
  <si>
    <t>24.02.2026 12:30</t>
  </si>
  <si>
    <t>24.02.2026 12:00</t>
  </si>
  <si>
    <t>24.02.2026 11:30</t>
  </si>
  <si>
    <t>24.02.2026 11:00</t>
  </si>
  <si>
    <t>24.02.2026 10:30</t>
  </si>
  <si>
    <t>24.02.2026 10:00</t>
  </si>
  <si>
    <t>24.02.2026 09:30</t>
  </si>
  <si>
    <t>24.02.2026 09:00</t>
  </si>
  <si>
    <t>24.02.2026 08:58</t>
  </si>
  <si>
    <t>24.02.2026 08:46</t>
  </si>
  <si>
    <t>24.02.2026 08:43</t>
  </si>
  <si>
    <t>24.02.2026 08:41</t>
  </si>
  <si>
    <t>24.02.2026 08:39</t>
  </si>
  <si>
    <t>24.02.2026 08:35</t>
  </si>
  <si>
    <t>24.02.2026 08:34</t>
  </si>
  <si>
    <t>24.02.2026 08:30</t>
  </si>
  <si>
    <t>24.02.2026 08:21</t>
  </si>
  <si>
    <t>24.02.2026 08:06</t>
  </si>
  <si>
    <t>24.02.2026 08:00</t>
  </si>
  <si>
    <t>Удалить не подходящиее время работы 8-17</t>
  </si>
  <si>
    <t>26.02.2026 20:00</t>
  </si>
  <si>
    <r>
      <t xml:space="preserve">По дням НКУ:"+ 15С...+35С"; "48%–77%"; </t>
    </r>
    <r>
      <rPr>
        <b/>
        <sz val="10"/>
        <rFont val="Arial"/>
        <family val="2"/>
        <charset val="204"/>
      </rPr>
      <t>"</t>
    </r>
    <r>
      <rPr>
        <sz val="10"/>
        <rFont val="Arial"/>
        <family val="2"/>
        <charset val="204"/>
      </rPr>
      <t>84 – 106,7 кПа".</t>
    </r>
  </si>
  <si>
    <t>Диапазоны дат с учетом НКУ</t>
  </si>
  <si>
    <t>00 000</t>
  </si>
  <si>
    <t>МСК</t>
  </si>
  <si>
    <t>ЕКБ</t>
  </si>
  <si>
    <t>Питер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</si>
</sst>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/hh:mm:ss"/>
    <numFmt numFmtId="165" formatCode="[$-F400]h:mm:ss\ AM/PM"/>
    <numFmt numFmtId="166" formatCode="d/m/yyyy\ h:mm"/>
    <numFmt numFmtId="167" formatCode="0.0"/>
  </numFmts>
  <fonts count="1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0"/>
      <color rgb="FFC5C8C6"/>
      <name val="Inherit"/>
    </font>
    <font>
      <u/>
      <sz val="12"/>
      <color theme="1"/>
      <name val="Arial"/>
      <family val="2"/>
      <charset val="204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95">
    <xf numFmtId="0" fontId="0" fillId="0" borderId="0" xfId="0"/>
    <xf numFmtId="0" fontId="1" fillId="0" borderId="0" xfId="0" applyFont="1"/>
    <xf numFmtId="14" fontId="1" fillId="0" borderId="0" xfId="0" applyNumberFormat="1" applyFont="1"/>
    <xf numFmtId="3" fontId="1" fillId="0" borderId="0" xfId="0" applyNumberFormat="1" applyFon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/>
    <xf numFmtId="2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0" borderId="0" xfId="0" applyBorder="1" applyAlignment="1">
      <alignment horizontal="center"/>
    </xf>
    <xf numFmtId="2" fontId="2" fillId="2" borderId="1" xfId="0" applyNumberFormat="1" applyFont="1" applyFill="1" applyBorder="1" applyAlignment="1">
      <alignment horizontal="center" wrapText="1"/>
    </xf>
    <xf numFmtId="3" fontId="1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Fill="1"/>
    <xf numFmtId="14" fontId="0" fillId="0" borderId="0" xfId="0" applyNumberFormat="1" applyFill="1"/>
    <xf numFmtId="14" fontId="2" fillId="2" borderId="1" xfId="0" applyNumberFormat="1" applyFont="1" applyFill="1" applyBorder="1" applyAlignment="1">
      <alignment horizontal="center" wrapText="1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ill="1" applyAlignment="1">
      <alignment horizontal="center"/>
    </xf>
    <xf numFmtId="165" fontId="1" fillId="0" borderId="0" xfId="0" applyNumberFormat="1" applyFont="1" applyFill="1"/>
    <xf numFmtId="165" fontId="0" fillId="0" borderId="0" xfId="0" applyNumberFormat="1" applyFill="1"/>
    <xf numFmtId="165" fontId="2" fillId="2" borderId="1" xfId="0" applyNumberFormat="1" applyFont="1" applyFill="1" applyBorder="1" applyAlignment="1">
      <alignment horizontal="center" wrapText="1"/>
    </xf>
    <xf numFmtId="165" fontId="0" fillId="0" borderId="0" xfId="0" applyNumberFormat="1"/>
    <xf numFmtId="165" fontId="0" fillId="0" borderId="0" xfId="0" applyNumberFormat="1" applyFill="1" applyBorder="1" applyAlignment="1">
      <alignment horizontal="center"/>
    </xf>
    <xf numFmtId="165" fontId="0" fillId="0" borderId="0" xfId="0" applyNumberFormat="1" applyFill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0" borderId="0" xfId="0" applyNumberFormat="1" applyFont="1"/>
    <xf numFmtId="165" fontId="0" fillId="0" borderId="0" xfId="0" applyNumberFormat="1" applyAlignment="1">
      <alignment horizontal="center"/>
    </xf>
    <xf numFmtId="1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1" fillId="0" borderId="0" xfId="0" applyNumberFormat="1" applyFont="1" applyFill="1"/>
    <xf numFmtId="2" fontId="0" fillId="0" borderId="0" xfId="0" applyNumberFormat="1" applyFill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49" fontId="0" fillId="0" borderId="0" xfId="0" applyNumberFormat="1" applyAlignment="1">
      <alignment wrapText="1"/>
    </xf>
    <xf numFmtId="14" fontId="0" fillId="3" borderId="0" xfId="0" applyNumberFormat="1" applyFill="1"/>
    <xf numFmtId="165" fontId="0" fillId="3" borderId="0" xfId="0" applyNumberFormat="1" applyFill="1"/>
    <xf numFmtId="2" fontId="0" fillId="3" borderId="0" xfId="0" applyNumberFormat="1" applyFill="1"/>
    <xf numFmtId="14" fontId="1" fillId="3" borderId="0" xfId="0" applyNumberFormat="1" applyFont="1" applyFill="1"/>
    <xf numFmtId="0" fontId="5" fillId="0" borderId="3" xfId="0" applyFont="1" applyBorder="1"/>
    <xf numFmtId="0" fontId="0" fillId="0" borderId="4" xfId="0" applyBorder="1"/>
    <xf numFmtId="49" fontId="0" fillId="0" borderId="5" xfId="0" applyNumberFormat="1" applyBorder="1" applyAlignment="1">
      <alignment wrapText="1"/>
    </xf>
    <xf numFmtId="0" fontId="5" fillId="0" borderId="8" xfId="0" applyFont="1" applyBorder="1"/>
    <xf numFmtId="0" fontId="0" fillId="0" borderId="0" xfId="0" applyBorder="1"/>
    <xf numFmtId="49" fontId="0" fillId="0" borderId="9" xfId="0" applyNumberFormat="1" applyBorder="1" applyAlignment="1">
      <alignment wrapText="1"/>
    </xf>
    <xf numFmtId="0" fontId="1" fillId="3" borderId="8" xfId="0" applyFont="1" applyFill="1" applyBorder="1"/>
    <xf numFmtId="0" fontId="0" fillId="3" borderId="0" xfId="0" applyFill="1" applyBorder="1"/>
    <xf numFmtId="0" fontId="1" fillId="3" borderId="8" xfId="0" applyFont="1" applyFill="1" applyBorder="1" applyAlignment="1"/>
    <xf numFmtId="0" fontId="1" fillId="3" borderId="0" xfId="0" applyFont="1" applyFill="1" applyBorder="1"/>
    <xf numFmtId="49" fontId="1" fillId="0" borderId="9" xfId="0" applyNumberFormat="1" applyFont="1" applyBorder="1" applyAlignment="1">
      <alignment wrapText="1"/>
    </xf>
    <xf numFmtId="0" fontId="5" fillId="3" borderId="8" xfId="0" applyFont="1" applyFill="1" applyBorder="1"/>
    <xf numFmtId="49" fontId="1" fillId="4" borderId="13" xfId="0" applyNumberFormat="1" applyFont="1" applyFill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49" fontId="2" fillId="2" borderId="7" xfId="0" applyNumberFormat="1" applyFont="1" applyFill="1" applyBorder="1" applyAlignment="1">
      <alignment horizontal="center" wrapText="1"/>
    </xf>
    <xf numFmtId="0" fontId="0" fillId="0" borderId="8" xfId="0" applyBorder="1"/>
    <xf numFmtId="14" fontId="0" fillId="0" borderId="0" xfId="0" applyNumberFormat="1" applyBorder="1"/>
    <xf numFmtId="49" fontId="0" fillId="0" borderId="9" xfId="0" applyNumberFormat="1" applyBorder="1" applyAlignment="1">
      <alignment horizontal="left" wrapText="1"/>
    </xf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49" fontId="0" fillId="0" borderId="12" xfId="0" applyNumberFormat="1" applyBorder="1" applyAlignment="1">
      <alignment horizontal="left" wrapText="1"/>
    </xf>
    <xf numFmtId="0" fontId="0" fillId="3" borderId="3" xfId="0" applyFill="1" applyBorder="1"/>
    <xf numFmtId="0" fontId="0" fillId="3" borderId="4" xfId="0" applyFill="1" applyBorder="1"/>
    <xf numFmtId="0" fontId="6" fillId="0" borderId="0" xfId="0" applyFont="1"/>
    <xf numFmtId="0" fontId="4" fillId="0" borderId="0" xfId="1" applyProtection="1">
      <protection locked="0"/>
    </xf>
    <xf numFmtId="0" fontId="4" fillId="0" borderId="0" xfId="1" applyAlignment="1" applyProtection="1">
      <alignment horizontal="center"/>
      <protection locked="0"/>
    </xf>
    <xf numFmtId="166" fontId="4" fillId="0" borderId="0" xfId="1" applyNumberFormat="1" applyProtection="1">
      <protection locked="0"/>
    </xf>
    <xf numFmtId="167" fontId="4" fillId="0" borderId="0" xfId="1" applyNumberFormat="1" applyProtection="1">
      <protection locked="0"/>
    </xf>
    <xf numFmtId="14" fontId="4" fillId="0" borderId="0" xfId="1" applyNumberFormat="1" applyAlignment="1" applyProtection="1">
      <alignment horizontal="center"/>
      <protection locked="0"/>
    </xf>
    <xf numFmtId="165" fontId="4" fillId="0" borderId="0" xfId="1" applyNumberFormat="1" applyAlignment="1" applyProtection="1">
      <alignment horizontal="center"/>
      <protection locked="0"/>
    </xf>
    <xf numFmtId="0" fontId="4" fillId="0" borderId="0" xfId="1" applyAlignment="1" applyProtection="1">
      <alignment vertical="center"/>
      <protection locked="0"/>
    </xf>
    <xf numFmtId="0" fontId="4" fillId="0" borderId="0" xfId="1" applyAlignment="1" applyProtection="1">
      <alignment vertical="center" wrapText="1"/>
      <protection locked="0"/>
    </xf>
    <xf numFmtId="0" fontId="7" fillId="0" borderId="0" xfId="0" applyFont="1" applyAlignment="1">
      <alignment vertical="center"/>
    </xf>
    <xf numFmtId="0" fontId="8" fillId="0" borderId="0" xfId="0" applyFont="1"/>
    <xf numFmtId="0" fontId="4" fillId="0" borderId="0" xfId="1" applyProtection="1">
      <protection locked="0"/>
    </xf>
    <xf numFmtId="49" fontId="4" fillId="0" borderId="0" xfId="1" applyNumberFormat="1" applyProtection="1">
      <protection locked="0"/>
    </xf>
    <xf numFmtId="49" fontId="4" fillId="0" borderId="0" xfId="1" applyNumberFormat="1" applyAlignment="1" applyProtection="1">
      <alignment horizontal="center"/>
      <protection locked="0"/>
    </xf>
    <xf numFmtId="0" fontId="4" fillId="3" borderId="0" xfId="1" applyFill="1" applyAlignment="1" applyProtection="1">
      <alignment horizontal="center" wrapText="1"/>
      <protection locked="0"/>
    </xf>
    <xf numFmtId="167" fontId="4" fillId="0" borderId="0" xfId="2" applyNumberFormat="1" applyProtection="1">
      <protection locked="0"/>
    </xf>
    <xf numFmtId="0" fontId="4" fillId="0" borderId="0" xfId="2" applyProtection="1">
      <protection locked="0"/>
    </xf>
    <xf numFmtId="0" fontId="4" fillId="3" borderId="0" xfId="1" applyFill="1" applyAlignment="1" applyProtection="1">
      <alignment wrapText="1"/>
      <protection locked="0"/>
    </xf>
    <xf numFmtId="49" fontId="4" fillId="0" borderId="0" xfId="2" applyNumberFormat="1" applyProtection="1">
      <protection locked="0"/>
    </xf>
    <xf numFmtId="0" fontId="4" fillId="3" borderId="0" xfId="1" applyFill="1" applyAlignment="1" applyProtection="1">
      <alignment horizontal="center" wrapText="1"/>
      <protection locked="0"/>
    </xf>
    <xf numFmtId="0" fontId="4" fillId="0" borderId="0" xfId="1" applyProtection="1">
      <protection locked="0"/>
    </xf>
    <xf numFmtId="0" fontId="4" fillId="5" borderId="14" xfId="1" applyFill="1" applyBorder="1" applyAlignment="1" applyProtection="1">
      <alignment horizontal="center"/>
      <protection locked="0"/>
    </xf>
    <xf numFmtId="0" fontId="4" fillId="5" borderId="15" xfId="1" applyFill="1" applyBorder="1" applyAlignment="1" applyProtection="1">
      <alignment horizontal="center"/>
      <protection locked="0"/>
    </xf>
    <xf numFmtId="0" fontId="4" fillId="5" borderId="16" xfId="1" applyFill="1" applyBorder="1" applyAlignment="1" applyProtection="1">
      <alignment horizontal="center"/>
      <protection locked="0"/>
    </xf>
  </cellXfs>
  <cellStyles count="3">
    <cellStyle name="Обычный" xfId="0" builtinId="0"/>
    <cellStyle name="Обычный 2" xfId="1" xr:uid="{76BA14FF-9BB0-4E3A-BBFA-64136E6AB160}"/>
    <cellStyle name="Обычный 3" xfId="2" xr:uid="{CE14D4E0-633E-490A-8861-CBA6B8FA30E7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1653-C328-40D6-9FF2-C14E6B1F4D65}">
  <dimension ref="A1:Q67"/>
  <sheetViews>
    <sheetView zoomScale="85" zoomScaleNormal="85" workbookViewId="0"/>
  </sheetViews>
  <sheetFormatPr defaultRowHeight="15"/>
  <cols>
    <col min="1" max="1" width="29.28515625" bestFit="1" customWidth="1"/>
    <col min="2" max="2" width="10.5703125" style="8" bestFit="1" customWidth="1"/>
    <col min="3" max="3" width="8.42578125" style="29" bestFit="1" customWidth="1"/>
    <col min="4" max="4" width="16.85546875" bestFit="1" customWidth="1"/>
    <col min="5" max="5" width="18.42578125" bestFit="1" customWidth="1"/>
    <col min="6" max="6" width="24.28515625" bestFit="1" customWidth="1"/>
    <col min="7" max="7" width="20.7109375" bestFit="1" customWidth="1"/>
    <col min="8" max="8" width="12.7109375" customWidth="1"/>
    <col min="9" max="9" width="9.5703125" customWidth="1"/>
    <col min="10" max="10" width="9.42578125" customWidth="1"/>
    <col min="11" max="11" width="10.5703125" bestFit="1" customWidth="1"/>
    <col min="12" max="12" width="20.42578125" bestFit="1" customWidth="1"/>
    <col min="13" max="13" width="28.42578125" bestFit="1" customWidth="1"/>
    <col min="14" max="14" width="18.42578125" bestFit="1" customWidth="1"/>
    <col min="15" max="15" width="19.7109375" bestFit="1" customWidth="1"/>
    <col min="16" max="16" width="20.7109375" bestFit="1" customWidth="1"/>
    <col min="17" max="17" width="106.5703125" style="42" bestFit="1" customWidth="1"/>
  </cols>
  <sheetData>
    <row r="1" spans="1:17">
      <c r="A1" s="1"/>
      <c r="B1" s="2">
        <v>45593</v>
      </c>
      <c r="C1" s="33">
        <v>0.33430555555555558</v>
      </c>
      <c r="D1" s="1"/>
      <c r="E1" s="1"/>
      <c r="F1" s="1" t="s">
        <v>0</v>
      </c>
      <c r="G1" s="3" t="s">
        <v>260</v>
      </c>
      <c r="H1" s="3"/>
    </row>
    <row r="3" spans="1:17">
      <c r="A3" t="s">
        <v>1</v>
      </c>
      <c r="D3" s="4">
        <v>45587.460509259261</v>
      </c>
    </row>
    <row r="4" spans="1:17">
      <c r="A4" t="s">
        <v>2</v>
      </c>
      <c r="D4" s="4">
        <v>45593.332094907404</v>
      </c>
    </row>
    <row r="5" spans="1:17">
      <c r="A5" t="s">
        <v>3</v>
      </c>
      <c r="D5">
        <v>46</v>
      </c>
    </row>
    <row r="6" spans="1:17">
      <c r="A6" t="s">
        <v>4</v>
      </c>
      <c r="D6">
        <v>28</v>
      </c>
    </row>
    <row r="7" spans="1:17">
      <c r="A7" t="s">
        <v>5</v>
      </c>
      <c r="D7">
        <v>15.3</v>
      </c>
    </row>
    <row r="8" spans="1:17">
      <c r="A8" t="s">
        <v>6</v>
      </c>
      <c r="D8">
        <v>8</v>
      </c>
      <c r="Q8"/>
    </row>
    <row r="9" spans="1:17">
      <c r="A9" t="s">
        <v>7</v>
      </c>
      <c r="D9">
        <v>69.3</v>
      </c>
      <c r="Q9"/>
    </row>
    <row r="10" spans="1:17">
      <c r="A10" t="s">
        <v>8</v>
      </c>
      <c r="D10">
        <v>54.8</v>
      </c>
      <c r="Q10"/>
    </row>
    <row r="11" spans="1:17">
      <c r="A11" t="s">
        <v>9</v>
      </c>
      <c r="D11">
        <v>38.4</v>
      </c>
      <c r="Q11"/>
    </row>
    <row r="12" spans="1:17">
      <c r="A12" t="s">
        <v>10</v>
      </c>
      <c r="D12">
        <v>101.8</v>
      </c>
      <c r="Q12"/>
    </row>
    <row r="13" spans="1:17">
      <c r="A13" t="s">
        <v>11</v>
      </c>
      <c r="D13">
        <v>100</v>
      </c>
      <c r="Q13"/>
    </row>
    <row r="14" spans="1:17">
      <c r="A14" t="s">
        <v>12</v>
      </c>
      <c r="D14">
        <v>98.2</v>
      </c>
      <c r="Q14"/>
    </row>
    <row r="15" spans="1:17" ht="15" customHeight="1">
      <c r="Q15"/>
    </row>
    <row r="16" spans="1:17" s="9" customFormat="1" ht="51.75">
      <c r="A16" s="10" t="s">
        <v>13</v>
      </c>
      <c r="B16" s="23" t="s">
        <v>14</v>
      </c>
      <c r="C16" s="28" t="s">
        <v>15</v>
      </c>
      <c r="D16" s="10" t="s">
        <v>16</v>
      </c>
      <c r="E16" s="10" t="s">
        <v>17</v>
      </c>
      <c r="F16" s="10" t="s">
        <v>18</v>
      </c>
      <c r="G16" s="10" t="s">
        <v>19</v>
      </c>
      <c r="H16" s="88" t="s">
        <v>256</v>
      </c>
      <c r="J16" s="60" t="s">
        <v>20</v>
      </c>
      <c r="K16" s="10" t="s">
        <v>14</v>
      </c>
      <c r="L16" s="10" t="s">
        <v>23</v>
      </c>
      <c r="M16" s="10" t="s">
        <v>16</v>
      </c>
      <c r="N16" s="10" t="s">
        <v>17</v>
      </c>
      <c r="O16" s="10" t="s">
        <v>18</v>
      </c>
      <c r="P16" s="10" t="s">
        <v>19</v>
      </c>
      <c r="Q16" s="61" t="s">
        <v>22</v>
      </c>
    </row>
    <row r="17" spans="1:17">
      <c r="A17" s="6">
        <v>2</v>
      </c>
      <c r="B17" s="7">
        <v>45588</v>
      </c>
      <c r="C17" s="32">
        <v>1.0012731481481481</v>
      </c>
      <c r="D17" s="6">
        <v>23.8</v>
      </c>
      <c r="E17" s="6">
        <v>49.4</v>
      </c>
      <c r="F17" s="6">
        <v>98.2</v>
      </c>
      <c r="G17" s="6">
        <v>10.6</v>
      </c>
      <c r="H17" t="b">
        <f>OR(VALUE(HOUR(C17))&gt;17,VALUE(HOUR(C17))&lt;8)</f>
        <v>1</v>
      </c>
      <c r="J17" s="62">
        <f>COUNTIF($B$17:$B$52,$K17)</f>
        <v>12</v>
      </c>
      <c r="K17" s="63" cm="1">
        <f t="array" ref="K17:K19">_xlfn._xlws.SORT(_xlfn.UNIQUE($B$17:$B$52))</f>
        <v>45588</v>
      </c>
      <c r="L17" s="51" t="str">
        <f>IF(_xlfn.MINIFS($C$17:$C$52,$B$17:$B$52,$K17)=_xlfn.MAXIFS($C$17:$C$52,$B$17:$B$52,$K17),
TEXT(_xlfn.MAXIFS($C$17:$C$52,$B$17:$B$52,$K17), "чч:мм:сс"),
_xlfn.TEXTJOIN("",TRUE,"с ",TEXT(_xlfn.MINIFS($C$17:$C$52,$B$17:$B$52,$K17), "чч:мм:сс")," по ",TEXT(_xlfn.MAXIFS($C$17:$C$52,$B$17:$B$52,$K17), "чч:мм:сс")))</f>
        <v>с 14:16:49 по 00:01:50</v>
      </c>
      <c r="M17" s="51" t="str">
        <f>IF(ROUND(_xlfn.MINIFS($D$17:$D$52,$B$17:$B$52,$K17),1)=ROUND(_xlfn.MAXIFS($D$17:$D$52,$B$17:$B$52,$K17),1),
IF(LEFT(_xlfn.MINIFS($D$17:$D$52,$B$17:$B$52,$K17),1)="-","минус ","плюс ")&amp;TEXT(ROUND(_xlfn.MAXIFS($D$17:$D$52,$B$17:$B$52,$K17),1),"0,0")&amp;" °C",
_xlfn.TEXTJOIN("",TRUE,"от ",
IF(LEFT(_xlfn.MINIFS($D$17:$D$52,$B$17:$B$52,$K17),1)="-","минус ","плюс ")&amp;TEXT(ROUND(ABS(_xlfn.MINIFS($D$17:$D$52,$B$17:$B$52,$K17)),1),"0,0")," °C"," до ",
IF(LEFT(_xlfn.MINIFS($D$17:$D$52,$B$17:$B$52,$K17),1)="-","минус ","плюс ")&amp;TEXT(ROUND(ABS(_xlfn.MAXIFS($D$17:$D$52,$B$17:$B$52,$K17)),1),"0,0")," °C"))</f>
        <v>от плюс 23,8 °C до плюс 25,5 °C</v>
      </c>
      <c r="N17" s="51" t="str">
        <f>IF(ROUND(_xlfn.MINIFS($E$17:$E$52,$B$17:$B$52,$K17),1)=ROUND(_xlfn.MAXIFS($E$17:$E$52,$B$17:$B$52,$K17),1),
TEXT(ROUND(_xlfn.MAXIFS($E$17:$E$52,$B$17:$B$52,$K17),1),"0,0")&amp;" %",
_xlfn.TEXTJOIN("",TRUE,"от ",TEXT(ROUND(_xlfn.MINIFS($E$17:$E$52,$B$17:$B$52,$K17),1),"0,0")," %"," до ",TEXT(ROUND(_xlfn.MAXIFS($E$17:$E$52,$B$17:$B$52,$K17),1),"0,0")," %"))</f>
        <v>от 38,4 % до 49,4 %</v>
      </c>
      <c r="O17" s="51" t="str">
        <f>IF(ROUND(_xlfn.MINIFS($F$17:$F$52,$B$17:$B$52,$K17),1)=ROUND(_xlfn.MAXIFS($F$17:$F$52,$B$17:$B$52,$K17),1),
TEXT(ROUND(_xlfn.MAXIFS($F$17:$F$52,$B$17:$B$52,$K17),1),"0,0")&amp;" кПа",
_xlfn.TEXTJOIN("",TRUE,"от ",TEXT(ROUND(_xlfn.MINIFS($F$17:$F$52,$B$17:$B$52,$K17),1),"0,0")," до ",TEXT(ROUND(_xlfn.MAXIFS($F$17:$F$52,$B$17:$B$52,$K17),1),"0,0")," кПа"))</f>
        <v>от 98,2 до 98,3 кПа</v>
      </c>
      <c r="P17" s="51" t="str">
        <f>IF(ROUND(_xlfn.MINIFS($G$17:$G$52,$B$17:$B$52,$K17),1)=ROUND(_xlfn.MAXIFS($G$17:$G$52,$B$17:$B$52,$K17),1),
TEXT(ROUND(_xlfn.MAXIFS($G$17:$G$52,$B$17:$B$52,$K17),1),"0,0")&amp;" г/м3",
_xlfn.TEXTJOIN("",TRUE,"от ",TEXT(ROUND(_xlfn.MINIFS($G$17:$G$52,$B$17:$B$52,$K17),1),"0,0")," до ",TEXT(ROUND(_xlfn.MAXIFS($G$17:$G$52,$B$17:$B$52,$K17),1),"0,0")," г/м3"))</f>
        <v>от 8,9 до 10,6 г/м3</v>
      </c>
      <c r="Q17" s="64" t="s">
        <v>261</v>
      </c>
    </row>
    <row r="18" spans="1:17">
      <c r="A18" s="6">
        <v>3</v>
      </c>
      <c r="B18" s="7">
        <v>45588</v>
      </c>
      <c r="C18" s="32">
        <v>0.59501157407407412</v>
      </c>
      <c r="D18" s="6">
        <v>24.6</v>
      </c>
      <c r="E18" s="6">
        <v>42</v>
      </c>
      <c r="F18" s="6">
        <v>98.2</v>
      </c>
      <c r="G18" s="6">
        <v>9.4</v>
      </c>
      <c r="H18" t="b">
        <f t="shared" ref="H18:H52" si="0">OR(VALUE(HOUR(C18))&gt;17,VALUE(HOUR(C18))&lt;8)</f>
        <v>0</v>
      </c>
      <c r="J18" s="62">
        <f>COUNTIF($B$17:$B$52,$K18)</f>
        <v>11</v>
      </c>
      <c r="K18" s="63">
        <v>45589</v>
      </c>
      <c r="L18" s="51" t="str">
        <f>IF(_xlfn.MINIFS($C$17:$C$52,$B$17:$B$52,$K18)=_xlfn.MAXIFS($C$17:$C$52,$B$17:$B$52,$K18),
TEXT(_xlfn.MAXIFS($C$17:$C$52,$B$17:$B$52,$K18), "чч:мм:сс"),
_xlfn.TEXTJOIN("",TRUE,"с ",TEXT(_xlfn.MINIFS($C$17:$C$52,$B$17:$B$52,$K18), "чч:мм:сс")," по ",TEXT(_xlfn.MAXIFS($C$17:$C$52,$B$17:$B$52,$K18), "чч:мм:сс")))</f>
        <v>с 13:40:11 по 16:10:11</v>
      </c>
      <c r="M18" s="51" t="str">
        <f>IF(ROUND(_xlfn.MINIFS($D$17:$D$52,$B$17:$B$52,$K18),1)=ROUND(_xlfn.MAXIFS($D$17:$D$52,$B$17:$B$52,$K18),1),
IF(LEFT(_xlfn.MINIFS($D$17:$D$52,$B$17:$B$52,$K18),1)="-","минус ","плюс ")&amp;TEXT(ROUND(_xlfn.MAXIFS($D$17:$D$52,$B$17:$B$52,$K18),1),"0,0")&amp;" °C",
_xlfn.TEXTJOIN("",TRUE,"от ",
IF(LEFT(_xlfn.MINIFS($D$17:$D$52,$B$17:$B$52,$K18),1)="-","минус ","плюс ")&amp;TEXT(ROUND(ABS(_xlfn.MINIFS($D$17:$D$52,$B$17:$B$52,$K18)),1),"0,0")," °C"," до ",
IF(LEFT(_xlfn.MINIFS($D$17:$D$52,$B$17:$B$52,$K18),1)="-","минус ","плюс ")&amp;TEXT(ROUND(ABS(_xlfn.MAXIFS($D$17:$D$52,$B$17:$B$52,$K18)),1),"0,0")," °C"))</f>
        <v>от плюс 9,2 °C до плюс 11,7 °C</v>
      </c>
      <c r="N18" s="51" t="str">
        <f>IF(ROUND(_xlfn.MINIFS($E$17:$E$52,$B$17:$B$52,$K18),1)=ROUND(_xlfn.MAXIFS($E$17:$E$52,$B$17:$B$52,$K18),1),
TEXT(ROUND(_xlfn.MAXIFS($E$17:$E$52,$B$17:$B$52,$K18),1),"0,0")&amp;" %",
_xlfn.TEXTJOIN("",TRUE,"от ",TEXT(ROUND(_xlfn.MINIFS($E$17:$E$52,$B$17:$B$52,$K18),1),"0,0")," %"," до ",TEXT(ROUND(_xlfn.MAXIFS($E$17:$E$52,$B$17:$B$52,$K18),1),"0,0")," %"))</f>
        <v>от 55,8 % до 69,3 %</v>
      </c>
      <c r="O18" s="51" t="str">
        <f>IF(ROUND(_xlfn.MINIFS($F$17:$F$52,$B$17:$B$52,$K18),1)=ROUND(_xlfn.MAXIFS($F$17:$F$52,$B$17:$B$52,$K18),1),
TEXT(ROUND(_xlfn.MAXIFS($F$17:$F$52,$B$17:$B$52,$K18),1),"0,0")&amp;" кПа",
_xlfn.TEXTJOIN("",TRUE,"от ",TEXT(ROUND(_xlfn.MINIFS($F$17:$F$52,$B$17:$B$52,$K18),1),"0,0")," до ",TEXT(ROUND(_xlfn.MAXIFS($F$17:$F$52,$B$17:$B$52,$K18),1),"0,0")," кПа"))</f>
        <v>от 100,3 до 100,4 кПа</v>
      </c>
      <c r="P18" s="51" t="str">
        <f>IF(ROUND(_xlfn.MINIFS($G$17:$G$52,$B$17:$B$52,$K18),1)=ROUND(_xlfn.MAXIFS($G$17:$G$52,$B$17:$B$52,$K18),1),
TEXT(ROUND(_xlfn.MAXIFS($G$17:$G$52,$B$17:$B$52,$K18),1),"0,0")&amp;" г/м3",
_xlfn.TEXTJOIN("",TRUE,"от ",TEXT(ROUND(_xlfn.MINIFS($G$17:$G$52,$B$17:$B$52,$K18),1),"0,0")," до ",TEXT(ROUND(_xlfn.MAXIFS($G$17:$G$52,$B$17:$B$52,$K18),1),"0,0")," г/м3"))</f>
        <v>от 5,8 до 6,2 г/м3</v>
      </c>
      <c r="Q18" s="64" t="s">
        <v>262</v>
      </c>
    </row>
    <row r="19" spans="1:17" ht="15.75" thickBot="1">
      <c r="A19" s="6">
        <v>4</v>
      </c>
      <c r="B19" s="7">
        <v>45588</v>
      </c>
      <c r="C19" s="32">
        <v>0.60542824074074075</v>
      </c>
      <c r="D19" s="6">
        <v>24.7</v>
      </c>
      <c r="E19" s="6">
        <v>41.6</v>
      </c>
      <c r="F19" s="6">
        <v>98.2</v>
      </c>
      <c r="G19" s="6">
        <v>9.4</v>
      </c>
      <c r="H19" t="b">
        <f t="shared" si="0"/>
        <v>0</v>
      </c>
      <c r="J19" s="65">
        <f>COUNTIF($B$17:$B$52,$K19)</f>
        <v>13</v>
      </c>
      <c r="K19" s="66">
        <v>45590</v>
      </c>
      <c r="L19" s="51" t="str">
        <f>IF(_xlfn.MINIFS($C$17:$C$52,$B$17:$B$52,$K19)=_xlfn.MAXIFS($C$17:$C$52,$B$17:$B$52,$K19),
TEXT(_xlfn.MAXIFS($C$17:$C$52,$B$17:$B$52,$K19), "чч:мм:сс"),
_xlfn.TEXTJOIN("",TRUE,"с ",TEXT(_xlfn.MINIFS($C$17:$C$52,$B$17:$B$52,$K19), "чч:мм:сс")," по ",TEXT(_xlfn.MAXIFS($C$17:$C$52,$B$17:$B$52,$K19), "чч:мм:сс")))</f>
        <v>с 10:00:42 по 14:29:06</v>
      </c>
      <c r="M19" s="51" t="str">
        <f>IF(ROUND(_xlfn.MINIFS($D$17:$D$52,$B$17:$B$52,$K19),1)=ROUND(_xlfn.MAXIFS($D$17:$D$52,$B$17:$B$52,$K19),1),
IF(LEFT(_xlfn.MINIFS($D$17:$D$52,$B$17:$B$52,$K19),1)="-","минус ","плюс ")&amp;TEXT(ROUND(_xlfn.MAXIFS($D$17:$D$52,$B$17:$B$52,$K19),1),"0,0")&amp;" °C",
_xlfn.TEXTJOIN("",TRUE,"от ",
IF(LEFT(_xlfn.MINIFS($D$17:$D$52,$B$17:$B$52,$K19),1)="-","минус ","плюс ")&amp;TEXT(ROUND(ABS(_xlfn.MINIFS($D$17:$D$52,$B$17:$B$52,$K19)),1),"0,0")," °C"," до ",
IF(LEFT(_xlfn.MINIFS($D$17:$D$52,$B$17:$B$52,$K19),1)="-","минус ","плюс ")&amp;TEXT(ROUND(ABS(_xlfn.MAXIFS($D$17:$D$52,$B$17:$B$52,$K19)),1),"0,0")," °C"))</f>
        <v>от плюс 8,0 °C до плюс 10,0 °C</v>
      </c>
      <c r="N19" s="51" t="str">
        <f>IF(ROUND(_xlfn.MINIFS($E$17:$E$52,$B$17:$B$52,$K19),1)=ROUND(_xlfn.MAXIFS($E$17:$E$52,$B$17:$B$52,$K19),1),
TEXT(ROUND(_xlfn.MAXIFS($E$17:$E$52,$B$17:$B$52,$K19),1),"0,0")&amp;" %",
_xlfn.TEXTJOIN("",TRUE,"от ",TEXT(ROUND(_xlfn.MINIFS($E$17:$E$52,$B$17:$B$52,$K19),1),"0,0")," %"," до ",TEXT(ROUND(_xlfn.MAXIFS($E$17:$E$52,$B$17:$B$52,$K19),1),"0,0")," %"))</f>
        <v>от 53,3 % до 68,7 %</v>
      </c>
      <c r="O19" s="51" t="str">
        <f>IF(ROUND(_xlfn.MINIFS($F$17:$F$52,$B$17:$B$52,$K19),1)=ROUND(_xlfn.MAXIFS($F$17:$F$52,$B$17:$B$52,$K19),1),
TEXT(ROUND(_xlfn.MAXIFS($F$17:$F$52,$B$17:$B$52,$K19),1),"0,0")&amp;" кПа",
_xlfn.TEXTJOIN("",TRUE,"от ",TEXT(ROUND(_xlfn.MINIFS($F$17:$F$52,$B$17:$B$52,$K19),1),"0,0")," до ",TEXT(ROUND(_xlfn.MAXIFS($F$17:$F$52,$B$17:$B$52,$K19),1),"0,0")," кПа"))</f>
        <v>от 100,5 до 100,7 кПа</v>
      </c>
      <c r="P19" s="51" t="str">
        <f>IF(ROUND(_xlfn.MINIFS($G$17:$G$52,$B$17:$B$52,$K19),1)=ROUND(_xlfn.MAXIFS($G$17:$G$52,$B$17:$B$52,$K19),1),
TEXT(ROUND(_xlfn.MAXIFS($G$17:$G$52,$B$17:$B$52,$K19),1),"0,0")&amp;" г/м3",
_xlfn.TEXTJOIN("",TRUE,"от ",TEXT(ROUND(_xlfn.MINIFS($G$17:$G$52,$B$17:$B$52,$K19),1),"0,0")," до ",TEXT(ROUND(_xlfn.MAXIFS($G$17:$G$52,$B$17:$B$52,$K19),1),"0,0")," г/м3"))</f>
        <v>от 4,5 до 5,8 г/м3</v>
      </c>
      <c r="Q19" s="68" t="s">
        <v>263</v>
      </c>
    </row>
    <row r="20" spans="1:17" ht="15.75" thickBot="1">
      <c r="A20" s="6">
        <v>5</v>
      </c>
      <c r="B20" s="7">
        <v>45588</v>
      </c>
      <c r="C20" s="32">
        <v>0.61584490740740738</v>
      </c>
      <c r="D20" s="6">
        <v>24.8</v>
      </c>
      <c r="E20" s="6">
        <v>42.4</v>
      </c>
      <c r="F20" s="6">
        <v>98.2</v>
      </c>
      <c r="G20" s="6">
        <v>9.6</v>
      </c>
      <c r="H20" t="b">
        <f t="shared" si="0"/>
        <v>0</v>
      </c>
    </row>
    <row r="21" spans="1:17">
      <c r="A21" s="6">
        <v>6</v>
      </c>
      <c r="B21" s="7">
        <v>45588</v>
      </c>
      <c r="C21" s="32">
        <v>0.62626157407407412</v>
      </c>
      <c r="D21" s="6">
        <v>24.8</v>
      </c>
      <c r="E21" s="6">
        <v>42.1</v>
      </c>
      <c r="F21" s="6">
        <v>98.2</v>
      </c>
      <c r="G21" s="6">
        <v>9.5</v>
      </c>
      <c r="H21" t="b">
        <f t="shared" si="0"/>
        <v>0</v>
      </c>
      <c r="J21" s="69" t="s">
        <v>55</v>
      </c>
      <c r="K21" s="70"/>
      <c r="L21" s="70"/>
      <c r="M21" s="70"/>
      <c r="N21" s="70"/>
      <c r="O21" s="70"/>
      <c r="P21" s="70"/>
      <c r="Q21" s="49"/>
    </row>
    <row r="22" spans="1:17" ht="30">
      <c r="A22" s="6">
        <v>7</v>
      </c>
      <c r="B22" s="7">
        <v>45588</v>
      </c>
      <c r="C22" s="32">
        <v>0.63667824074074075</v>
      </c>
      <c r="D22" s="6">
        <v>25.2</v>
      </c>
      <c r="E22" s="6">
        <v>43.4</v>
      </c>
      <c r="F22" s="6">
        <v>98.3</v>
      </c>
      <c r="G22" s="6">
        <v>10.1</v>
      </c>
      <c r="H22" t="b">
        <f t="shared" si="0"/>
        <v>0</v>
      </c>
      <c r="J22" s="60" t="s">
        <v>20</v>
      </c>
      <c r="K22" s="10" t="s">
        <v>14</v>
      </c>
      <c r="L22" s="10" t="s">
        <v>23</v>
      </c>
      <c r="M22" s="10" t="s">
        <v>16</v>
      </c>
      <c r="N22" s="10" t="s">
        <v>17</v>
      </c>
      <c r="O22" s="10" t="s">
        <v>18</v>
      </c>
      <c r="P22" s="10" t="s">
        <v>19</v>
      </c>
      <c r="Q22" s="61" t="s">
        <v>22</v>
      </c>
    </row>
    <row r="23" spans="1:17">
      <c r="A23" s="6">
        <v>8</v>
      </c>
      <c r="B23" s="7">
        <v>45588</v>
      </c>
      <c r="C23" s="32">
        <v>0.64709490740740738</v>
      </c>
      <c r="D23" s="6">
        <v>25.5</v>
      </c>
      <c r="E23" s="6">
        <v>42.9</v>
      </c>
      <c r="F23" s="6">
        <v>98.3</v>
      </c>
      <c r="G23" s="6">
        <v>10.1</v>
      </c>
      <c r="H23" t="b">
        <f t="shared" si="0"/>
        <v>0</v>
      </c>
      <c r="J23" s="62">
        <v>12</v>
      </c>
      <c r="K23" s="51">
        <v>45588</v>
      </c>
      <c r="L23" s="51" t="s">
        <v>39</v>
      </c>
      <c r="M23" s="51" t="s">
        <v>40</v>
      </c>
      <c r="N23" s="51" t="s">
        <v>41</v>
      </c>
      <c r="O23" s="51" t="s">
        <v>42</v>
      </c>
      <c r="P23" s="51" t="s">
        <v>43</v>
      </c>
      <c r="Q23" s="64" t="s">
        <v>261</v>
      </c>
    </row>
    <row r="24" spans="1:17">
      <c r="A24" s="6">
        <v>9</v>
      </c>
      <c r="B24" s="7">
        <v>45588</v>
      </c>
      <c r="C24" s="32">
        <v>0.65751157407407412</v>
      </c>
      <c r="D24" s="6">
        <v>25.4</v>
      </c>
      <c r="E24" s="6">
        <v>41.3</v>
      </c>
      <c r="F24" s="6">
        <v>98.3</v>
      </c>
      <c r="G24" s="6">
        <v>9.6999999999999993</v>
      </c>
      <c r="H24" t="b">
        <f t="shared" si="0"/>
        <v>0</v>
      </c>
      <c r="J24" s="62">
        <v>11</v>
      </c>
      <c r="K24" s="51">
        <v>45589</v>
      </c>
      <c r="L24" s="51" t="s">
        <v>44</v>
      </c>
      <c r="M24" s="51" t="s">
        <v>45</v>
      </c>
      <c r="N24" s="51" t="s">
        <v>46</v>
      </c>
      <c r="O24" s="51" t="s">
        <v>47</v>
      </c>
      <c r="P24" s="51" t="s">
        <v>48</v>
      </c>
      <c r="Q24" s="64" t="s">
        <v>262</v>
      </c>
    </row>
    <row r="25" spans="1:17" ht="15.75" thickBot="1">
      <c r="A25" s="6">
        <v>10</v>
      </c>
      <c r="B25" s="7">
        <v>45588</v>
      </c>
      <c r="C25" s="32">
        <v>0.66792824074074064</v>
      </c>
      <c r="D25" s="6">
        <v>25.4</v>
      </c>
      <c r="E25" s="6">
        <v>41.2</v>
      </c>
      <c r="F25" s="6">
        <v>98.3</v>
      </c>
      <c r="G25" s="6">
        <v>9.6999999999999993</v>
      </c>
      <c r="H25" t="b">
        <f t="shared" si="0"/>
        <v>0</v>
      </c>
      <c r="J25" s="65">
        <v>13</v>
      </c>
      <c r="K25" s="67">
        <v>45590</v>
      </c>
      <c r="L25" s="67" t="s">
        <v>49</v>
      </c>
      <c r="M25" s="67" t="s">
        <v>50</v>
      </c>
      <c r="N25" s="67" t="s">
        <v>51</v>
      </c>
      <c r="O25" s="67" t="s">
        <v>52</v>
      </c>
      <c r="P25" s="67" t="s">
        <v>53</v>
      </c>
      <c r="Q25" s="68" t="s">
        <v>263</v>
      </c>
    </row>
    <row r="26" spans="1:17">
      <c r="A26" s="6">
        <v>11</v>
      </c>
      <c r="B26" s="7">
        <v>45588</v>
      </c>
      <c r="C26" s="32">
        <v>0.67834490740740738</v>
      </c>
      <c r="D26" s="6">
        <v>25.3</v>
      </c>
      <c r="E26" s="6">
        <v>39.299999999999997</v>
      </c>
      <c r="F26" s="6">
        <v>98.3</v>
      </c>
      <c r="G26" s="6">
        <v>9.1999999999999993</v>
      </c>
      <c r="H26" t="b">
        <f t="shared" si="0"/>
        <v>0</v>
      </c>
    </row>
    <row r="27" spans="1:17">
      <c r="A27" s="6">
        <v>12</v>
      </c>
      <c r="B27" s="7">
        <v>45588</v>
      </c>
      <c r="C27" s="32">
        <v>0.68876157407407401</v>
      </c>
      <c r="D27" s="6">
        <v>25.3</v>
      </c>
      <c r="E27" s="6">
        <v>39.6</v>
      </c>
      <c r="F27" s="6">
        <v>98.3</v>
      </c>
      <c r="G27" s="6">
        <v>9.1999999999999993</v>
      </c>
      <c r="H27" t="b">
        <f t="shared" si="0"/>
        <v>0</v>
      </c>
    </row>
    <row r="28" spans="1:17">
      <c r="A28" s="6">
        <v>13</v>
      </c>
      <c r="B28" s="7">
        <v>45588</v>
      </c>
      <c r="C28" s="32">
        <v>0.69917824074074064</v>
      </c>
      <c r="D28" s="6">
        <v>25.3</v>
      </c>
      <c r="E28" s="6">
        <v>38.4</v>
      </c>
      <c r="F28" s="6">
        <v>98.3</v>
      </c>
      <c r="G28" s="6">
        <v>8.9</v>
      </c>
      <c r="H28" t="b">
        <f t="shared" si="0"/>
        <v>0</v>
      </c>
    </row>
    <row r="29" spans="1:17">
      <c r="A29" s="6">
        <v>15</v>
      </c>
      <c r="B29" s="7">
        <v>45589</v>
      </c>
      <c r="C29" s="32">
        <v>0.56957175925925929</v>
      </c>
      <c r="D29" s="6">
        <v>11.7</v>
      </c>
      <c r="E29" s="6">
        <v>55.8</v>
      </c>
      <c r="F29" s="6">
        <v>100.4</v>
      </c>
      <c r="G29" s="6">
        <v>5.8</v>
      </c>
      <c r="H29" t="b">
        <f t="shared" si="0"/>
        <v>0</v>
      </c>
    </row>
    <row r="30" spans="1:17">
      <c r="A30" s="6">
        <v>16</v>
      </c>
      <c r="B30" s="7">
        <v>45589</v>
      </c>
      <c r="C30" s="32">
        <v>0.57998842592592592</v>
      </c>
      <c r="D30" s="6">
        <v>11.4</v>
      </c>
      <c r="E30" s="6">
        <v>57.6</v>
      </c>
      <c r="F30" s="6">
        <v>100.4</v>
      </c>
      <c r="G30" s="6">
        <v>5.9</v>
      </c>
      <c r="H30" t="b">
        <f t="shared" si="0"/>
        <v>0</v>
      </c>
    </row>
    <row r="31" spans="1:17">
      <c r="A31" s="6">
        <v>17</v>
      </c>
      <c r="B31" s="7">
        <v>45589</v>
      </c>
      <c r="C31" s="32">
        <v>0.59040509259259266</v>
      </c>
      <c r="D31" s="6">
        <v>10.5</v>
      </c>
      <c r="E31" s="6">
        <v>60.1</v>
      </c>
      <c r="F31" s="6">
        <v>100.4</v>
      </c>
      <c r="G31" s="6">
        <v>5.8</v>
      </c>
      <c r="H31" t="b">
        <f t="shared" si="0"/>
        <v>0</v>
      </c>
    </row>
    <row r="32" spans="1:17">
      <c r="A32" s="6">
        <v>18</v>
      </c>
      <c r="B32" s="7">
        <v>45589</v>
      </c>
      <c r="C32" s="32">
        <v>0.60082175925925929</v>
      </c>
      <c r="D32" s="6">
        <v>10.5</v>
      </c>
      <c r="E32" s="6">
        <v>60.1</v>
      </c>
      <c r="F32" s="6">
        <v>100.4</v>
      </c>
      <c r="G32" s="6">
        <v>5.8</v>
      </c>
      <c r="H32" t="b">
        <f t="shared" si="0"/>
        <v>0</v>
      </c>
    </row>
    <row r="33" spans="1:8">
      <c r="A33" s="6">
        <v>19</v>
      </c>
      <c r="B33" s="7">
        <v>45589</v>
      </c>
      <c r="C33" s="32">
        <v>0.61123842592592592</v>
      </c>
      <c r="D33" s="6">
        <v>10</v>
      </c>
      <c r="E33" s="6">
        <v>62.6</v>
      </c>
      <c r="F33" s="6">
        <v>100.3</v>
      </c>
      <c r="G33" s="6">
        <v>5.9</v>
      </c>
      <c r="H33" t="b">
        <f t="shared" si="0"/>
        <v>0</v>
      </c>
    </row>
    <row r="34" spans="1:8">
      <c r="A34" s="6">
        <v>20</v>
      </c>
      <c r="B34" s="7">
        <v>45589</v>
      </c>
      <c r="C34" s="32">
        <v>0.62165509259259266</v>
      </c>
      <c r="D34" s="6">
        <v>10.4</v>
      </c>
      <c r="E34" s="6">
        <v>61.6</v>
      </c>
      <c r="F34" s="6">
        <v>100.4</v>
      </c>
      <c r="G34" s="6">
        <v>6</v>
      </c>
      <c r="H34" t="b">
        <f t="shared" si="0"/>
        <v>0</v>
      </c>
    </row>
    <row r="35" spans="1:8">
      <c r="A35" s="6">
        <v>21</v>
      </c>
      <c r="B35" s="7">
        <v>45589</v>
      </c>
      <c r="C35" s="32">
        <v>0.63207175925925929</v>
      </c>
      <c r="D35" s="6">
        <v>10.7</v>
      </c>
      <c r="E35" s="6">
        <v>60.7</v>
      </c>
      <c r="F35" s="6">
        <v>100.4</v>
      </c>
      <c r="G35" s="6">
        <v>6</v>
      </c>
      <c r="H35" t="b">
        <f t="shared" si="0"/>
        <v>0</v>
      </c>
    </row>
    <row r="36" spans="1:8">
      <c r="A36" s="6">
        <v>22</v>
      </c>
      <c r="B36" s="7">
        <v>45589</v>
      </c>
      <c r="C36" s="32">
        <v>0.64248842592592592</v>
      </c>
      <c r="D36" s="6">
        <v>9.6</v>
      </c>
      <c r="E36" s="6">
        <v>64.900000000000006</v>
      </c>
      <c r="F36" s="6">
        <v>100.3</v>
      </c>
      <c r="G36" s="6">
        <v>6</v>
      </c>
      <c r="H36" t="b">
        <f t="shared" si="0"/>
        <v>0</v>
      </c>
    </row>
    <row r="37" spans="1:8">
      <c r="A37" s="6">
        <v>23</v>
      </c>
      <c r="B37" s="7">
        <v>45589</v>
      </c>
      <c r="C37" s="32">
        <v>0.65290509259259266</v>
      </c>
      <c r="D37" s="6">
        <v>9.4</v>
      </c>
      <c r="E37" s="6">
        <v>67.099999999999994</v>
      </c>
      <c r="F37" s="6">
        <v>100.3</v>
      </c>
      <c r="G37" s="6">
        <v>6.1</v>
      </c>
      <c r="H37" t="b">
        <f t="shared" si="0"/>
        <v>0</v>
      </c>
    </row>
    <row r="38" spans="1:8">
      <c r="A38" s="6">
        <v>24</v>
      </c>
      <c r="B38" s="7">
        <v>45589</v>
      </c>
      <c r="C38" s="32">
        <v>0.66332175925925929</v>
      </c>
      <c r="D38" s="6">
        <v>9.1999999999999993</v>
      </c>
      <c r="E38" s="6">
        <v>68.400000000000006</v>
      </c>
      <c r="F38" s="6">
        <v>100.3</v>
      </c>
      <c r="G38" s="6">
        <v>6.1</v>
      </c>
      <c r="H38" t="b">
        <f t="shared" si="0"/>
        <v>0</v>
      </c>
    </row>
    <row r="39" spans="1:8">
      <c r="A39" s="6">
        <v>25</v>
      </c>
      <c r="B39" s="7">
        <v>45589</v>
      </c>
      <c r="C39" s="32">
        <v>0.67373842592592592</v>
      </c>
      <c r="D39" s="6">
        <v>9.1999999999999993</v>
      </c>
      <c r="E39" s="6">
        <v>69.3</v>
      </c>
      <c r="F39" s="6">
        <v>100.3</v>
      </c>
      <c r="G39" s="6">
        <v>6.2</v>
      </c>
      <c r="H39" t="b">
        <f t="shared" si="0"/>
        <v>0</v>
      </c>
    </row>
    <row r="40" spans="1:8">
      <c r="A40" s="6">
        <v>27</v>
      </c>
      <c r="B40" s="7">
        <v>45590</v>
      </c>
      <c r="C40" s="32">
        <v>0.41715277777777776</v>
      </c>
      <c r="D40" s="6">
        <v>8.6999999999999993</v>
      </c>
      <c r="E40" s="6">
        <v>65.2</v>
      </c>
      <c r="F40" s="6">
        <v>100.5</v>
      </c>
      <c r="G40" s="6">
        <v>5.7</v>
      </c>
      <c r="H40" t="b">
        <f t="shared" si="0"/>
        <v>0</v>
      </c>
    </row>
    <row r="41" spans="1:8">
      <c r="A41" s="6">
        <v>28</v>
      </c>
      <c r="B41" s="7">
        <v>45590</v>
      </c>
      <c r="C41" s="32">
        <v>0.42756944444444445</v>
      </c>
      <c r="D41" s="6">
        <v>8.1999999999999993</v>
      </c>
      <c r="E41" s="6">
        <v>66.5</v>
      </c>
      <c r="F41" s="6">
        <v>100.5</v>
      </c>
      <c r="G41" s="6">
        <v>5.6</v>
      </c>
      <c r="H41" t="b">
        <f t="shared" si="0"/>
        <v>0</v>
      </c>
    </row>
    <row r="42" spans="1:8">
      <c r="A42" s="6">
        <v>29</v>
      </c>
      <c r="B42" s="7">
        <v>45590</v>
      </c>
      <c r="C42" s="32">
        <v>0.43798611111111113</v>
      </c>
      <c r="D42" s="6">
        <v>8.3000000000000007</v>
      </c>
      <c r="E42" s="6">
        <v>64.3</v>
      </c>
      <c r="F42" s="6">
        <v>100.5</v>
      </c>
      <c r="G42" s="6">
        <v>5.4</v>
      </c>
      <c r="H42" t="b">
        <f t="shared" si="0"/>
        <v>0</v>
      </c>
    </row>
    <row r="43" spans="1:8">
      <c r="A43" s="6">
        <v>30</v>
      </c>
      <c r="B43" s="7">
        <v>45590</v>
      </c>
      <c r="C43" s="32">
        <v>0.44840277777777776</v>
      </c>
      <c r="D43" s="6">
        <v>8.4</v>
      </c>
      <c r="E43" s="6">
        <v>64.400000000000006</v>
      </c>
      <c r="F43" s="6">
        <v>100.5</v>
      </c>
      <c r="G43" s="6">
        <v>5.5</v>
      </c>
      <c r="H43" t="b">
        <f t="shared" si="0"/>
        <v>0</v>
      </c>
    </row>
    <row r="44" spans="1:8">
      <c r="A44" s="6">
        <v>31</v>
      </c>
      <c r="B44" s="7">
        <v>45590</v>
      </c>
      <c r="C44" s="32">
        <v>0.45771990740740742</v>
      </c>
      <c r="D44" s="6">
        <v>8.3000000000000007</v>
      </c>
      <c r="E44" s="6">
        <v>68.7</v>
      </c>
      <c r="F44" s="6">
        <v>100.7</v>
      </c>
      <c r="G44" s="6">
        <v>5.8</v>
      </c>
      <c r="H44" t="b">
        <f t="shared" si="0"/>
        <v>0</v>
      </c>
    </row>
    <row r="45" spans="1:8">
      <c r="A45" s="6">
        <v>38</v>
      </c>
      <c r="B45" s="7">
        <v>45590</v>
      </c>
      <c r="C45" s="32">
        <v>0.53062500000000001</v>
      </c>
      <c r="D45" s="6">
        <v>10</v>
      </c>
      <c r="E45" s="6">
        <v>54.7</v>
      </c>
      <c r="F45" s="6">
        <v>100.6</v>
      </c>
      <c r="G45" s="6">
        <v>5.0999999999999996</v>
      </c>
      <c r="H45" t="b">
        <f t="shared" si="0"/>
        <v>0</v>
      </c>
    </row>
    <row r="46" spans="1:8">
      <c r="A46" s="6">
        <v>39</v>
      </c>
      <c r="B46" s="7">
        <v>45590</v>
      </c>
      <c r="C46" s="32">
        <v>0.54104166666666664</v>
      </c>
      <c r="D46" s="6">
        <v>8.5</v>
      </c>
      <c r="E46" s="6">
        <v>56.2</v>
      </c>
      <c r="F46" s="6">
        <v>100.6</v>
      </c>
      <c r="G46" s="6">
        <v>4.8</v>
      </c>
      <c r="H46" t="b">
        <f t="shared" si="0"/>
        <v>0</v>
      </c>
    </row>
    <row r="47" spans="1:8">
      <c r="A47" s="6">
        <v>40</v>
      </c>
      <c r="B47" s="7">
        <v>45590</v>
      </c>
      <c r="C47" s="32">
        <v>0.55145833333333327</v>
      </c>
      <c r="D47" s="6">
        <v>8.4</v>
      </c>
      <c r="E47" s="6">
        <v>53.3</v>
      </c>
      <c r="F47" s="6">
        <v>100.6</v>
      </c>
      <c r="G47" s="6">
        <v>4.5</v>
      </c>
      <c r="H47" t="b">
        <f t="shared" si="0"/>
        <v>0</v>
      </c>
    </row>
    <row r="48" spans="1:8">
      <c r="A48" s="6">
        <v>41</v>
      </c>
      <c r="B48" s="7">
        <v>45590</v>
      </c>
      <c r="C48" s="32">
        <v>0.56187500000000001</v>
      </c>
      <c r="D48" s="6">
        <v>8.6999999999999993</v>
      </c>
      <c r="E48" s="6">
        <v>55.5</v>
      </c>
      <c r="F48" s="6">
        <v>100.6</v>
      </c>
      <c r="G48" s="6">
        <v>4.8</v>
      </c>
      <c r="H48" t="b">
        <f t="shared" si="0"/>
        <v>0</v>
      </c>
    </row>
    <row r="49" spans="1:8">
      <c r="A49" s="6">
        <v>42</v>
      </c>
      <c r="B49" s="7">
        <v>45590</v>
      </c>
      <c r="C49" s="32">
        <v>0.57229166666666664</v>
      </c>
      <c r="D49" s="6">
        <v>9.3000000000000007</v>
      </c>
      <c r="E49" s="6">
        <v>55.9</v>
      </c>
      <c r="F49" s="6">
        <v>100.6</v>
      </c>
      <c r="G49" s="6">
        <v>5</v>
      </c>
      <c r="H49" t="b">
        <f t="shared" si="0"/>
        <v>0</v>
      </c>
    </row>
    <row r="50" spans="1:8">
      <c r="A50" s="6">
        <v>43</v>
      </c>
      <c r="B50" s="7">
        <v>45590</v>
      </c>
      <c r="C50" s="32">
        <v>0.58270833333333327</v>
      </c>
      <c r="D50" s="6">
        <v>8.3000000000000007</v>
      </c>
      <c r="E50" s="6">
        <v>57.9</v>
      </c>
      <c r="F50" s="6">
        <v>100.6</v>
      </c>
      <c r="G50" s="6">
        <v>4.9000000000000004</v>
      </c>
      <c r="H50" t="b">
        <f t="shared" si="0"/>
        <v>0</v>
      </c>
    </row>
    <row r="51" spans="1:8">
      <c r="A51" s="6">
        <v>44</v>
      </c>
      <c r="B51" s="7">
        <v>45590</v>
      </c>
      <c r="C51" s="32">
        <v>0.59312500000000001</v>
      </c>
      <c r="D51" s="6">
        <v>8</v>
      </c>
      <c r="E51" s="6">
        <v>59.8</v>
      </c>
      <c r="F51" s="6">
        <v>100.6</v>
      </c>
      <c r="G51" s="6">
        <v>5</v>
      </c>
      <c r="H51" t="b">
        <f t="shared" si="0"/>
        <v>0</v>
      </c>
    </row>
    <row r="52" spans="1:8">
      <c r="A52" s="6">
        <v>45</v>
      </c>
      <c r="B52" s="7">
        <v>45590</v>
      </c>
      <c r="C52" s="32">
        <v>0.60354166666666664</v>
      </c>
      <c r="D52" s="6">
        <v>8</v>
      </c>
      <c r="E52" s="6">
        <v>59.6</v>
      </c>
      <c r="F52" s="6">
        <v>100.6</v>
      </c>
      <c r="G52" s="6">
        <v>4.9000000000000004</v>
      </c>
      <c r="H52" t="b">
        <f t="shared" si="0"/>
        <v>0</v>
      </c>
    </row>
    <row r="53" spans="1:8">
      <c r="A53" s="5"/>
      <c r="B53" s="20"/>
      <c r="C53" s="34"/>
      <c r="D53" s="5"/>
      <c r="E53" s="5"/>
      <c r="F53" s="5"/>
      <c r="G53" s="5"/>
      <c r="H53" s="5"/>
    </row>
    <row r="54" spans="1:8">
      <c r="A54" s="5"/>
      <c r="B54" s="20"/>
      <c r="C54" s="34"/>
      <c r="D54" s="5"/>
      <c r="E54" s="5"/>
      <c r="F54" s="5"/>
      <c r="G54" s="5"/>
      <c r="H54" s="5"/>
    </row>
    <row r="55" spans="1:8">
      <c r="A55" s="5"/>
      <c r="B55" s="20"/>
      <c r="C55" s="34"/>
      <c r="D55" s="5"/>
      <c r="E55" s="5"/>
      <c r="F55" s="5"/>
      <c r="G55" s="5"/>
      <c r="H55" s="5"/>
    </row>
    <row r="56" spans="1:8">
      <c r="A56" s="5"/>
      <c r="B56" s="20"/>
      <c r="C56" s="34"/>
      <c r="D56" s="5"/>
      <c r="E56" s="5"/>
      <c r="F56" s="5"/>
      <c r="G56" s="5"/>
      <c r="H56" s="5"/>
    </row>
    <row r="57" spans="1:8">
      <c r="A57" s="5"/>
      <c r="B57" s="20"/>
      <c r="C57" s="34"/>
      <c r="D57" s="5"/>
      <c r="E57" s="5"/>
      <c r="F57" s="5"/>
      <c r="G57" s="5"/>
      <c r="H57" s="5"/>
    </row>
    <row r="58" spans="1:8">
      <c r="A58" s="5"/>
      <c r="B58" s="20"/>
      <c r="C58" s="34"/>
      <c r="D58" s="5"/>
      <c r="E58" s="5"/>
      <c r="F58" s="5"/>
      <c r="G58" s="5"/>
      <c r="H58" s="5"/>
    </row>
    <row r="59" spans="1:8">
      <c r="A59" s="5"/>
      <c r="B59" s="20"/>
      <c r="C59" s="34"/>
      <c r="D59" s="5"/>
      <c r="E59" s="5"/>
      <c r="F59" s="5"/>
      <c r="G59" s="5"/>
      <c r="H59" s="5"/>
    </row>
    <row r="60" spans="1:8">
      <c r="A60" s="5"/>
      <c r="B60" s="20"/>
      <c r="C60" s="34"/>
      <c r="D60" s="5"/>
      <c r="E60" s="5"/>
      <c r="F60" s="5"/>
      <c r="G60" s="5"/>
      <c r="H60" s="5"/>
    </row>
    <row r="61" spans="1:8">
      <c r="A61" s="5"/>
      <c r="B61" s="20"/>
      <c r="C61" s="34"/>
      <c r="D61" s="5"/>
      <c r="E61" s="5"/>
      <c r="F61" s="5"/>
      <c r="G61" s="5"/>
      <c r="H61" s="5"/>
    </row>
    <row r="62" spans="1:8">
      <c r="A62" s="5"/>
      <c r="B62" s="20"/>
      <c r="C62" s="34"/>
      <c r="D62" s="5"/>
      <c r="E62" s="5"/>
      <c r="F62" s="5"/>
      <c r="G62" s="5"/>
      <c r="H62" s="5"/>
    </row>
    <row r="63" spans="1:8">
      <c r="A63" s="5"/>
      <c r="B63" s="20"/>
      <c r="C63" s="34"/>
      <c r="D63" s="5"/>
      <c r="E63" s="5"/>
      <c r="F63" s="5"/>
      <c r="G63" s="5"/>
      <c r="H63" s="5"/>
    </row>
    <row r="64" spans="1:8">
      <c r="A64" s="5"/>
      <c r="B64" s="20"/>
      <c r="C64" s="34"/>
      <c r="D64" s="5"/>
      <c r="E64" s="5"/>
      <c r="F64" s="5"/>
      <c r="G64" s="5"/>
      <c r="H64" s="5"/>
    </row>
    <row r="65" spans="1:8">
      <c r="A65" s="5"/>
      <c r="B65" s="20"/>
      <c r="C65" s="34"/>
      <c r="D65" s="5"/>
      <c r="E65" s="5"/>
      <c r="F65" s="5"/>
      <c r="G65" s="5"/>
      <c r="H65" s="5"/>
    </row>
    <row r="66" spans="1:8">
      <c r="A66" s="5"/>
      <c r="B66" s="20"/>
      <c r="C66" s="34"/>
      <c r="D66" s="5"/>
      <c r="E66" s="5"/>
      <c r="F66" s="5"/>
      <c r="G66" s="5"/>
      <c r="H66" s="5"/>
    </row>
    <row r="67" spans="1:8">
      <c r="A67" s="5"/>
      <c r="B67" s="20"/>
      <c r="C67" s="34"/>
      <c r="D67" s="5"/>
      <c r="E67" s="5"/>
      <c r="F67" s="5"/>
      <c r="G67" s="5"/>
      <c r="H67" s="5"/>
    </row>
  </sheetData>
  <conditionalFormatting sqref="H16:H52">
    <cfRule type="containsText" dxfId="3" priority="1" operator="containsText" text="ИСТИНА">
      <formula>NOT(ISERROR(SEARCH("ИСТИНА",H16)))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67"/>
  <sheetViews>
    <sheetView zoomScale="85" zoomScaleNormal="85" workbookViewId="0">
      <selection activeCell="B1" sqref="B1"/>
    </sheetView>
  </sheetViews>
  <sheetFormatPr defaultRowHeight="15"/>
  <cols>
    <col min="1" max="1" width="2.140625" customWidth="1"/>
    <col min="2" max="2" width="29.28515625" bestFit="1" customWidth="1"/>
    <col min="3" max="3" width="10.5703125" style="8" bestFit="1" customWidth="1"/>
    <col min="4" max="4" width="8.42578125" style="29" bestFit="1" customWidth="1"/>
    <col min="5" max="5" width="16.85546875" bestFit="1" customWidth="1"/>
    <col min="6" max="6" width="18.42578125" bestFit="1" customWidth="1"/>
    <col min="7" max="7" width="24.28515625" bestFit="1" customWidth="1"/>
    <col min="8" max="8" width="20.7109375" bestFit="1" customWidth="1"/>
    <col min="9" max="9" width="2.7109375" customWidth="1"/>
    <col min="10" max="10" width="69.85546875" style="22" bestFit="1" customWidth="1"/>
    <col min="11" max="11" width="16.5703125" style="27" bestFit="1" customWidth="1"/>
    <col min="12" max="12" width="31.7109375" style="38" bestFit="1" customWidth="1"/>
    <col min="13" max="13" width="32.42578125" style="18" bestFit="1" customWidth="1"/>
    <col min="14" max="14" width="10.5703125" style="22" bestFit="1" customWidth="1"/>
    <col min="15" max="15" width="8.42578125" style="27" bestFit="1" customWidth="1"/>
    <col min="16" max="16" width="3" hidden="1" customWidth="1"/>
    <col min="17" max="17" width="13.5703125" customWidth="1"/>
    <col min="18" max="18" width="3" customWidth="1"/>
    <col min="19" max="19" width="129.42578125" bestFit="1" customWidth="1"/>
    <col min="20" max="20" width="10.5703125" bestFit="1" customWidth="1"/>
    <col min="21" max="21" width="20.42578125" bestFit="1" customWidth="1"/>
    <col min="22" max="22" width="28.42578125" bestFit="1" customWidth="1"/>
    <col min="23" max="23" width="18.42578125" bestFit="1" customWidth="1"/>
    <col min="24" max="24" width="19.7109375" bestFit="1" customWidth="1"/>
    <col min="25" max="25" width="20.7109375" bestFit="1" customWidth="1"/>
    <col min="26" max="26" width="106.5703125" style="42" bestFit="1" customWidth="1"/>
  </cols>
  <sheetData>
    <row r="1" spans="2:26">
      <c r="B1" s="1"/>
      <c r="C1" s="2">
        <v>45593</v>
      </c>
      <c r="D1" s="33">
        <v>0.33430555555555558</v>
      </c>
      <c r="E1" s="1"/>
      <c r="F1" s="1"/>
      <c r="G1" s="1" t="s">
        <v>0</v>
      </c>
      <c r="H1" s="3" t="s">
        <v>260</v>
      </c>
      <c r="I1" s="3"/>
      <c r="J1" s="21"/>
      <c r="K1" s="26"/>
      <c r="L1" s="37"/>
      <c r="M1" s="17"/>
      <c r="N1" s="21"/>
      <c r="O1" s="26"/>
    </row>
    <row r="3" spans="2:26">
      <c r="B3" t="s">
        <v>1</v>
      </c>
      <c r="E3" s="4">
        <v>45587.460509259261</v>
      </c>
    </row>
    <row r="4" spans="2:26">
      <c r="B4" t="s">
        <v>2</v>
      </c>
      <c r="E4" s="4">
        <v>45593.332094907404</v>
      </c>
    </row>
    <row r="5" spans="2:26">
      <c r="B5" t="s">
        <v>3</v>
      </c>
      <c r="E5">
        <v>46</v>
      </c>
    </row>
    <row r="6" spans="2:26">
      <c r="B6" t="s">
        <v>4</v>
      </c>
      <c r="E6">
        <v>28</v>
      </c>
    </row>
    <row r="7" spans="2:26">
      <c r="B7" t="s">
        <v>5</v>
      </c>
      <c r="E7">
        <v>15.3</v>
      </c>
    </row>
    <row r="8" spans="2:26">
      <c r="B8" t="s">
        <v>6</v>
      </c>
      <c r="E8">
        <v>8</v>
      </c>
    </row>
    <row r="9" spans="2:26" ht="15.75" thickBot="1">
      <c r="B9" t="s">
        <v>7</v>
      </c>
      <c r="E9">
        <v>69.3</v>
      </c>
      <c r="S9" s="71" t="s">
        <v>56</v>
      </c>
    </row>
    <row r="10" spans="2:26">
      <c r="B10" t="s">
        <v>8</v>
      </c>
      <c r="E10">
        <v>54.8</v>
      </c>
      <c r="S10" s="47" t="s">
        <v>34</v>
      </c>
      <c r="T10" s="48"/>
      <c r="U10" s="48"/>
      <c r="V10" s="48"/>
      <c r="W10" s="48"/>
      <c r="X10" s="48"/>
      <c r="Y10" s="48"/>
      <c r="Z10" s="49"/>
    </row>
    <row r="11" spans="2:26">
      <c r="B11" t="s">
        <v>9</v>
      </c>
      <c r="E11">
        <v>38.4</v>
      </c>
      <c r="S11" s="50" t="s">
        <v>33</v>
      </c>
      <c r="T11" s="51"/>
      <c r="U11" s="51"/>
      <c r="V11" s="51"/>
      <c r="W11" s="51"/>
      <c r="X11" s="51"/>
      <c r="Y11" s="51"/>
      <c r="Z11" s="52"/>
    </row>
    <row r="12" spans="2:26">
      <c r="B12" t="s">
        <v>10</v>
      </c>
      <c r="E12">
        <v>101.8</v>
      </c>
      <c r="S12" s="50" t="s">
        <v>35</v>
      </c>
      <c r="T12" s="51"/>
      <c r="U12" s="51"/>
      <c r="V12" s="51"/>
      <c r="W12" s="51"/>
      <c r="X12" s="51"/>
      <c r="Y12" s="51"/>
      <c r="Z12" s="52"/>
    </row>
    <row r="13" spans="2:26">
      <c r="B13" t="s">
        <v>11</v>
      </c>
      <c r="E13">
        <v>100</v>
      </c>
      <c r="S13" s="53" t="s">
        <v>36</v>
      </c>
      <c r="T13" s="54"/>
      <c r="U13" s="54"/>
      <c r="V13" s="54"/>
      <c r="W13" s="54"/>
      <c r="X13" s="54"/>
      <c r="Y13" s="54"/>
      <c r="Z13" s="52"/>
    </row>
    <row r="14" spans="2:26">
      <c r="B14" t="s">
        <v>12</v>
      </c>
      <c r="E14">
        <v>98.2</v>
      </c>
      <c r="S14" s="55" t="s">
        <v>37</v>
      </c>
      <c r="T14" s="56"/>
      <c r="U14" s="56"/>
      <c r="V14" s="56"/>
      <c r="W14" s="56"/>
      <c r="X14" s="56"/>
      <c r="Y14" s="56"/>
      <c r="Z14" s="57"/>
    </row>
    <row r="15" spans="2:26" ht="19.5" customHeight="1">
      <c r="J15" s="46" t="s">
        <v>38</v>
      </c>
      <c r="K15" s="44"/>
      <c r="L15" s="45"/>
      <c r="M15" s="14"/>
      <c r="N15" s="43"/>
      <c r="O15" s="44"/>
      <c r="Q15" s="90" t="s">
        <v>256</v>
      </c>
      <c r="S15" s="58" t="s">
        <v>54</v>
      </c>
      <c r="T15" s="11"/>
      <c r="U15" s="11"/>
      <c r="V15" s="11"/>
      <c r="W15" s="11"/>
      <c r="X15" s="11"/>
      <c r="Y15" s="11"/>
      <c r="Z15" s="59" t="s">
        <v>24</v>
      </c>
    </row>
    <row r="16" spans="2:26" s="9" customFormat="1" ht="30" customHeight="1">
      <c r="B16" s="10" t="s">
        <v>13</v>
      </c>
      <c r="C16" s="23" t="s">
        <v>14</v>
      </c>
      <c r="D16" s="28" t="s">
        <v>15</v>
      </c>
      <c r="E16" s="10" t="s">
        <v>16</v>
      </c>
      <c r="F16" s="10" t="s">
        <v>17</v>
      </c>
      <c r="G16" s="10" t="s">
        <v>18</v>
      </c>
      <c r="H16" s="10" t="s">
        <v>19</v>
      </c>
      <c r="I16" s="41"/>
      <c r="J16" s="23" t="s">
        <v>25</v>
      </c>
      <c r="K16" s="28" t="s">
        <v>26</v>
      </c>
      <c r="L16" s="16" t="s">
        <v>27</v>
      </c>
      <c r="M16" s="10" t="s">
        <v>32</v>
      </c>
      <c r="N16" s="23" t="s">
        <v>28</v>
      </c>
      <c r="O16" s="28" t="s">
        <v>29</v>
      </c>
      <c r="Q16" s="90"/>
      <c r="S16" s="60" t="s">
        <v>20</v>
      </c>
      <c r="T16" s="10" t="s">
        <v>14</v>
      </c>
      <c r="U16" s="10" t="s">
        <v>23</v>
      </c>
      <c r="V16" s="10" t="s">
        <v>16</v>
      </c>
      <c r="W16" s="10" t="s">
        <v>17</v>
      </c>
      <c r="X16" s="10" t="s">
        <v>18</v>
      </c>
      <c r="Y16" s="10" t="s">
        <v>19</v>
      </c>
      <c r="Z16" s="61" t="s">
        <v>22</v>
      </c>
    </row>
    <row r="17" spans="2:26">
      <c r="B17" s="6">
        <v>2</v>
      </c>
      <c r="C17" s="7">
        <v>45588</v>
      </c>
      <c r="D17" s="32">
        <v>0.2096064814814815</v>
      </c>
      <c r="E17" s="6">
        <v>23.8</v>
      </c>
      <c r="F17" s="6">
        <v>49.4</v>
      </c>
      <c r="G17" s="6">
        <v>98.2</v>
      </c>
      <c r="H17" s="6">
        <v>10.6</v>
      </c>
      <c r="I17" s="15"/>
      <c r="J17" s="8"/>
      <c r="K17" s="29"/>
      <c r="L17" s="12"/>
      <c r="M17" s="13">
        <f>C17+D17+$L$18</f>
        <v>45588.209606481483</v>
      </c>
      <c r="N17" s="8">
        <f>INT(M17)</f>
        <v>45588</v>
      </c>
      <c r="O17" s="29">
        <f>M17-N17</f>
        <v>0.20960648148320615</v>
      </c>
      <c r="Q17" t="b">
        <f>OR(VALUE(HOUR(O17))&gt;17,VALUE(HOUR(O17))&lt;8)</f>
        <v>1</v>
      </c>
      <c r="S17" s="62">
        <f>COUNTIF($N$17:$N$52,$T17)</f>
        <v>12</v>
      </c>
      <c r="T17" s="63" cm="1">
        <f t="array" ref="T17:T19">_xlfn._xlws.SORT(_xlfn.UNIQUE($N$17:$N$52))</f>
        <v>45588</v>
      </c>
      <c r="U17" s="51" t="str">
        <f>IF(_xlfn.MINIFS($O$17:$O$52,$N$17:$N$52,$T17)=_xlfn.MAXIFS($O$17:$O$52,$N$17:$N$52,$T17),
TEXT(_xlfn.MAXIFS($O$17:$O$52,$N$17:$N$52,$T17),"чч:мм:сс"),
_xlfn.TEXTJOIN("",TRUE,"с ",TEXT(_xlfn.MINIFS($O$17:$O$52,$N$17:$N$52,$T17),"чч:мм:сс")," по ",TEXT(_xlfn.MAXIFS($O$17:$O$52,$N$17:$N$52,$T17),"чч:мм:сс")))</f>
        <v>с 05:01:50 по 16:46:49</v>
      </c>
      <c r="V17" s="51" t="str">
        <f>IF(ROUND(_xlfn.MINIFS($E$17:$E$52,$N$17:$N$52,$T17),1)=ROUND(_xlfn.MAXIFS($E$17:$E$52,$N$17:$N$52,$T17),1),
IF(LEFT(_xlfn.MINIFS($E$17:$E$52,$N$17:$N$52,$T17),1)="-","минус ","плюс ")&amp;TEXT(ROUND(_xlfn.MAXIFS($E$17:$E$52,$N$17:$N$52,$T17),1),"0,0")&amp;" °C",
_xlfn.TEXTJOIN("",TRUE,"от ",
IF(LEFT(_xlfn.MINIFS($E$17:$E$52,$N$17:$N$52,$T17),1)="-","минус ","плюс ")&amp;TEXT(ROUND(ABS(_xlfn.MINIFS($E$17:$E$52,$N$17:$N$52,$T17)),1),"0,0")," °C"," до ",
IF(LEFT(_xlfn.MINIFS($E$17:$E$52,$N$17:$N$52,$T17),1)="-","минус ","плюс ")&amp;TEXT(ROUND(ABS(_xlfn.MAXIFS($E$17:$E$52,$N$17:$N$52,$T17)),1),"0,0")," °C"))</f>
        <v>от плюс 23,8 °C до плюс 25,5 °C</v>
      </c>
      <c r="W17" s="51" t="str">
        <f>IF(ROUND(_xlfn.MINIFS($F$17:$F$52,$N$17:$N$52,$T17),1)=ROUND(_xlfn.MAXIFS($F$17:$F$52,$N$17:$N$52,$T17),1),
TEXT(ROUND(_xlfn.MAXIFS($F$17:$F$52,$N$17:$N$52,$T17),1),"0,0")&amp;" %",
_xlfn.TEXTJOIN("",TRUE,"от ",TEXT(ROUND(_xlfn.MINIFS($F$17:$F$52,$N$17:$N$52,$T17),1),"0,0")," %"," до ",TEXT(ROUND(_xlfn.MAXIFS($F$17:$F$52,$N$17:$N$52,$T17),1),"0,0")," %"))</f>
        <v>от 38,4 % до 49,4 %</v>
      </c>
      <c r="X17" s="51" t="str">
        <f>IF(ROUND(_xlfn.MINIFS($G$17:$G$52,$N$17:$N$52,$T17),1)=ROUND(_xlfn.MAXIFS($G$17:$G$52,$N$17:$N$52,$T17),1),
TEXT(ROUND(_xlfn.MAXIFS($G$17:$G$52,$N$17:$N$52,$T17),1),"0,0")&amp;" кПа",
_xlfn.TEXTJOIN("",TRUE,"от ",TEXT(ROUND(_xlfn.MINIFS($G$17:$G$52,$N$17:$N$52,$T17),1),"0,0")," до ",TEXT(ROUND(_xlfn.MAXIFS($G$17:$G$52,$N$17:$N$52,$T17),1),"0,0")," кПа"))</f>
        <v>от 98,2 до 98,3 кПа</v>
      </c>
      <c r="Y17" s="51" t="str">
        <f>IF(ROUND(_xlfn.MINIFS($H$17:$H$52,$N$17:$N$52,$T17),1)=ROUND(_xlfn.MAXIFS($H$17:$H$52,$N$17:$N$52,$T17),1),
TEXT(ROUND(_xlfn.MAXIFS($H$17:$H$52,$N$17:$N$52,$T17),1),"0,0")&amp;" г/м3",
_xlfn.TEXTJOIN("",TRUE,"от ",TEXT(ROUND(_xlfn.MINIFS($H$17:$H$52,$N$17:$N$52,$T17),1),"0,0")," до ",TEXT(ROUND(_xlfn.MAXIFS($H$17:$H$52,$N$17:$N$52,$T17),1),"0,0")," г/м3"))</f>
        <v>от 8,9 до 10,6 г/м3</v>
      </c>
      <c r="Z17" s="64" t="s">
        <v>261</v>
      </c>
    </row>
    <row r="18" spans="2:26">
      <c r="B18" s="6">
        <v>3</v>
      </c>
      <c r="C18" s="7">
        <v>45588</v>
      </c>
      <c r="D18" s="32">
        <v>0.59501157407407412</v>
      </c>
      <c r="E18" s="6">
        <v>24.6</v>
      </c>
      <c r="F18" s="6">
        <v>42</v>
      </c>
      <c r="G18" s="6">
        <v>98.2</v>
      </c>
      <c r="H18" s="6">
        <v>9.4</v>
      </c>
      <c r="I18" s="15"/>
      <c r="J18" s="35">
        <f>C18</f>
        <v>45588</v>
      </c>
      <c r="K18" s="36">
        <f>D18</f>
        <v>0.59501157407407412</v>
      </c>
      <c r="L18" s="12">
        <f>(J18+K18)-(C18+D18)</f>
        <v>0</v>
      </c>
      <c r="M18" s="13">
        <f>C18+D18+$L$18</f>
        <v>45588.595011574071</v>
      </c>
      <c r="N18" s="8">
        <f t="shared" ref="N18:N52" si="0">INT(M18)</f>
        <v>45588</v>
      </c>
      <c r="O18" s="29">
        <f t="shared" ref="O18:O52" si="1">M18-N18</f>
        <v>0.59501157407066785</v>
      </c>
      <c r="Q18" t="b">
        <f t="shared" ref="Q18:Q52" si="2">OR(VALUE(HOUR(O18))&gt;17,VALUE(HOUR(O18))&lt;8)</f>
        <v>0</v>
      </c>
      <c r="S18" s="62">
        <f t="shared" ref="S18:S19" si="3">COUNTIF($N$17:$N$52,$T18)</f>
        <v>11</v>
      </c>
      <c r="T18" s="63">
        <v>45589</v>
      </c>
      <c r="U18" s="51" t="str">
        <f t="shared" ref="U18:U19" si="4">IF(_xlfn.MINIFS($O$17:$O$52,$N$17:$N$52,$T18)=_xlfn.MAXIFS($O$17:$O$52,$N$17:$N$52,$T18),
TEXT(_xlfn.MAXIFS($O$17:$O$52,$N$17:$N$52,$T18),"чч:мм:сс"),
_xlfn.TEXTJOIN("",TRUE,"с ",TEXT(_xlfn.MINIFS($O$17:$O$52,$N$17:$N$52,$T18),"чч:мм:сс")," по ",TEXT(_xlfn.MAXIFS($O$17:$O$52,$N$17:$N$52,$T18),"чч:мм:сс")))</f>
        <v>с 13:40:11 по 16:10:11</v>
      </c>
      <c r="V18" s="51" t="str">
        <f t="shared" ref="V18:V19" si="5">IF(ROUND(_xlfn.MINIFS($E$17:$E$52,$N$17:$N$52,$T18),1)=ROUND(_xlfn.MAXIFS($E$17:$E$52,$N$17:$N$52,$T18),1),
IF(LEFT(_xlfn.MINIFS($E$17:$E$52,$N$17:$N$52,$T18),1)="-","минус ","плюс ")&amp;TEXT(ROUND(_xlfn.MAXIFS($E$17:$E$52,$N$17:$N$52,$T18),1),"0,0")&amp;" °C",
_xlfn.TEXTJOIN("",TRUE,"от ",
IF(LEFT(_xlfn.MINIFS($E$17:$E$52,$N$17:$N$52,$T18),1)="-","минус ","плюс ")&amp;TEXT(ROUND(ABS(_xlfn.MINIFS($E$17:$E$52,$N$17:$N$52,$T18)),1),"0,0")," °C"," до ",
IF(LEFT(_xlfn.MINIFS($E$17:$E$52,$N$17:$N$52,$T18),1)="-","минус ","плюс ")&amp;TEXT(ROUND(ABS(_xlfn.MAXIFS($E$17:$E$52,$N$17:$N$52,$T18)),1),"0,0")," °C"))</f>
        <v>от плюс 9,2 °C до плюс 11,7 °C</v>
      </c>
      <c r="W18" s="51" t="str">
        <f t="shared" ref="W18:W19" si="6">IF(ROUND(_xlfn.MINIFS($F$17:$F$52,$N$17:$N$52,$T18),1)=ROUND(_xlfn.MAXIFS($F$17:$F$52,$N$17:$N$52,$T18),1),
TEXT(ROUND(_xlfn.MAXIFS($F$17:$F$52,$N$17:$N$52,$T18),1),"0,0")&amp;" %",
_xlfn.TEXTJOIN("",TRUE,"от ",TEXT(ROUND(_xlfn.MINIFS($F$17:$F$52,$N$17:$N$52,$T18),1),"0,0")," %"," до ",TEXT(ROUND(_xlfn.MAXIFS($F$17:$F$52,$N$17:$N$52,$T18),1),"0,0")," %"))</f>
        <v>от 55,8 % до 69,3 %</v>
      </c>
      <c r="X18" s="51" t="str">
        <f t="shared" ref="X18:X19" si="7">IF(ROUND(_xlfn.MINIFS($G$17:$G$52,$N$17:$N$52,$T18),1)=ROUND(_xlfn.MAXIFS($G$17:$G$52,$N$17:$N$52,$T18),1),
TEXT(ROUND(_xlfn.MAXIFS($G$17:$G$52,$N$17:$N$52,$T18),1),"0,0")&amp;" кПа",
_xlfn.TEXTJOIN("",TRUE,"от ",TEXT(ROUND(_xlfn.MINIFS($G$17:$G$52,$N$17:$N$52,$T18),1),"0,0")," до ",TEXT(ROUND(_xlfn.MAXIFS($G$17:$G$52,$N$17:$N$52,$T18),1),"0,0")," кПа"))</f>
        <v>от 100,3 до 100,4 кПа</v>
      </c>
      <c r="Y18" s="51" t="str">
        <f t="shared" ref="Y18:Y19" si="8">IF(ROUND(_xlfn.MINIFS($H$17:$H$52,$N$17:$N$52,$T18),1)=ROUND(_xlfn.MAXIFS($H$17:$H$52,$N$17:$N$52,$T18),1),
TEXT(ROUND(_xlfn.MAXIFS($H$17:$H$52,$N$17:$N$52,$T18),1),"0,0")&amp;" г/м3",
_xlfn.TEXTJOIN("",TRUE,"от ",TEXT(ROUND(_xlfn.MINIFS($H$17:$H$52,$N$17:$N$52,$T18),1),"0,0")," до ",TEXT(ROUND(_xlfn.MAXIFS($H$17:$H$52,$N$17:$N$52,$T18),1),"0,0")," г/м3"))</f>
        <v>от 5,8 до 6,2 г/м3</v>
      </c>
      <c r="Z18" s="64" t="s">
        <v>262</v>
      </c>
    </row>
    <row r="19" spans="2:26" ht="15.75" thickBot="1">
      <c r="B19" s="6">
        <v>4</v>
      </c>
      <c r="C19" s="7">
        <v>45588</v>
      </c>
      <c r="D19" s="32">
        <v>0.60542824074074075</v>
      </c>
      <c r="E19" s="6">
        <v>24.7</v>
      </c>
      <c r="F19" s="6">
        <v>41.6</v>
      </c>
      <c r="G19" s="6">
        <v>98.2</v>
      </c>
      <c r="H19" s="6">
        <v>9.4</v>
      </c>
      <c r="I19" s="15"/>
      <c r="J19" s="24"/>
      <c r="K19" s="30"/>
      <c r="L19" s="39"/>
      <c r="M19" s="13">
        <f t="shared" ref="M19:M52" si="9">C19+D19+$L$18</f>
        <v>45588.605428240742</v>
      </c>
      <c r="N19" s="8">
        <f t="shared" si="0"/>
        <v>45588</v>
      </c>
      <c r="O19" s="29">
        <f t="shared" si="1"/>
        <v>0.60542824074218515</v>
      </c>
      <c r="Q19" t="b">
        <f t="shared" si="2"/>
        <v>0</v>
      </c>
      <c r="S19" s="65">
        <f t="shared" si="3"/>
        <v>13</v>
      </c>
      <c r="T19" s="66">
        <v>45590</v>
      </c>
      <c r="U19" s="51" t="str">
        <f t="shared" si="4"/>
        <v>с 10:00:42 по 14:29:06</v>
      </c>
      <c r="V19" s="51" t="str">
        <f t="shared" si="5"/>
        <v>от плюс 8,0 °C до плюс 10,0 °C</v>
      </c>
      <c r="W19" s="51" t="str">
        <f t="shared" si="6"/>
        <v>от 53,3 % до 68,7 %</v>
      </c>
      <c r="X19" s="51" t="str">
        <f t="shared" si="7"/>
        <v>от 100,5 до 100,7 кПа</v>
      </c>
      <c r="Y19" s="51" t="str">
        <f t="shared" si="8"/>
        <v>от 4,5 до 5,8 г/м3</v>
      </c>
      <c r="Z19" s="68" t="s">
        <v>263</v>
      </c>
    </row>
    <row r="20" spans="2:26" ht="15.75" thickBot="1">
      <c r="B20" s="6">
        <v>5</v>
      </c>
      <c r="C20" s="7">
        <v>45588</v>
      </c>
      <c r="D20" s="32">
        <v>0.61584490740740738</v>
      </c>
      <c r="E20" s="6">
        <v>24.8</v>
      </c>
      <c r="F20" s="6">
        <v>42.4</v>
      </c>
      <c r="G20" s="6">
        <v>98.2</v>
      </c>
      <c r="H20" s="6">
        <v>9.6</v>
      </c>
      <c r="I20" s="15"/>
      <c r="J20" s="24"/>
      <c r="K20" s="30"/>
      <c r="L20" s="39"/>
      <c r="M20" s="13">
        <f t="shared" si="9"/>
        <v>45588.615844907406</v>
      </c>
      <c r="N20" s="8">
        <f t="shared" si="0"/>
        <v>45588</v>
      </c>
      <c r="O20" s="29">
        <f t="shared" si="1"/>
        <v>0.6158449074064265</v>
      </c>
      <c r="Q20" t="b">
        <f t="shared" si="2"/>
        <v>0</v>
      </c>
    </row>
    <row r="21" spans="2:26">
      <c r="B21" s="6">
        <v>6</v>
      </c>
      <c r="C21" s="7">
        <v>45588</v>
      </c>
      <c r="D21" s="32">
        <v>0.62626157407407412</v>
      </c>
      <c r="E21" s="6">
        <v>24.8</v>
      </c>
      <c r="F21" s="6">
        <v>42.1</v>
      </c>
      <c r="G21" s="6">
        <v>98.2</v>
      </c>
      <c r="H21" s="6">
        <v>9.5</v>
      </c>
      <c r="I21" s="15"/>
      <c r="J21" s="24"/>
      <c r="K21" s="30"/>
      <c r="L21" s="39"/>
      <c r="M21" s="13">
        <f t="shared" si="9"/>
        <v>45588.626261574071</v>
      </c>
      <c r="N21" s="8">
        <f t="shared" si="0"/>
        <v>45588</v>
      </c>
      <c r="O21" s="29">
        <f t="shared" si="1"/>
        <v>0.62626157407066785</v>
      </c>
      <c r="Q21" t="b">
        <f t="shared" si="2"/>
        <v>0</v>
      </c>
      <c r="S21" s="69" t="s">
        <v>55</v>
      </c>
      <c r="T21" s="70"/>
      <c r="U21" s="70"/>
      <c r="V21" s="70"/>
      <c r="W21" s="70"/>
      <c r="X21" s="70"/>
      <c r="Y21" s="70"/>
      <c r="Z21" s="49"/>
    </row>
    <row r="22" spans="2:26" ht="30">
      <c r="B22" s="6">
        <v>7</v>
      </c>
      <c r="C22" s="7">
        <v>45588</v>
      </c>
      <c r="D22" s="32">
        <v>0.63667824074074075</v>
      </c>
      <c r="E22" s="6">
        <v>25.2</v>
      </c>
      <c r="F22" s="6">
        <v>43.4</v>
      </c>
      <c r="G22" s="6">
        <v>98.3</v>
      </c>
      <c r="H22" s="6">
        <v>10.1</v>
      </c>
      <c r="I22" s="15"/>
      <c r="J22" s="24"/>
      <c r="K22" s="30"/>
      <c r="L22" s="39"/>
      <c r="M22" s="13">
        <f t="shared" si="9"/>
        <v>45588.636678240742</v>
      </c>
      <c r="N22" s="8">
        <f t="shared" si="0"/>
        <v>45588</v>
      </c>
      <c r="O22" s="29">
        <f t="shared" si="1"/>
        <v>0.63667824074218515</v>
      </c>
      <c r="Q22" t="b">
        <f t="shared" si="2"/>
        <v>0</v>
      </c>
      <c r="S22" s="60" t="s">
        <v>20</v>
      </c>
      <c r="T22" s="10" t="s">
        <v>14</v>
      </c>
      <c r="U22" s="10" t="s">
        <v>23</v>
      </c>
      <c r="V22" s="10" t="s">
        <v>16</v>
      </c>
      <c r="W22" s="10" t="s">
        <v>17</v>
      </c>
      <c r="X22" s="10" t="s">
        <v>18</v>
      </c>
      <c r="Y22" s="10" t="s">
        <v>19</v>
      </c>
      <c r="Z22" s="61" t="s">
        <v>22</v>
      </c>
    </row>
    <row r="23" spans="2:26">
      <c r="B23" s="6">
        <v>8</v>
      </c>
      <c r="C23" s="7">
        <v>45588</v>
      </c>
      <c r="D23" s="32">
        <v>0.64709490740740738</v>
      </c>
      <c r="E23" s="6">
        <v>25.5</v>
      </c>
      <c r="F23" s="6">
        <v>42.9</v>
      </c>
      <c r="G23" s="6">
        <v>98.3</v>
      </c>
      <c r="H23" s="6">
        <v>10.1</v>
      </c>
      <c r="I23" s="15"/>
      <c r="J23" s="24"/>
      <c r="K23" s="30"/>
      <c r="L23" s="39"/>
      <c r="M23" s="13">
        <f t="shared" si="9"/>
        <v>45588.647094907406</v>
      </c>
      <c r="N23" s="8">
        <f t="shared" si="0"/>
        <v>45588</v>
      </c>
      <c r="O23" s="29">
        <f t="shared" si="1"/>
        <v>0.6470949074064265</v>
      </c>
      <c r="Q23" t="b">
        <f t="shared" si="2"/>
        <v>0</v>
      </c>
      <c r="S23" s="62">
        <v>12</v>
      </c>
      <c r="T23" s="51">
        <v>45588</v>
      </c>
      <c r="U23" s="51" t="s">
        <v>39</v>
      </c>
      <c r="V23" s="51" t="s">
        <v>40</v>
      </c>
      <c r="W23" s="51" t="s">
        <v>41</v>
      </c>
      <c r="X23" s="51" t="s">
        <v>42</v>
      </c>
      <c r="Y23" s="51" t="s">
        <v>43</v>
      </c>
      <c r="Z23" s="64" t="s">
        <v>261</v>
      </c>
    </row>
    <row r="24" spans="2:26">
      <c r="B24" s="6">
        <v>9</v>
      </c>
      <c r="C24" s="7">
        <v>45588</v>
      </c>
      <c r="D24" s="32">
        <v>0.65751157407407412</v>
      </c>
      <c r="E24" s="6">
        <v>25.4</v>
      </c>
      <c r="F24" s="6">
        <v>41.3</v>
      </c>
      <c r="G24" s="6">
        <v>98.3</v>
      </c>
      <c r="H24" s="6">
        <v>9.6999999999999993</v>
      </c>
      <c r="I24" s="15"/>
      <c r="J24" s="24"/>
      <c r="K24" s="30"/>
      <c r="L24" s="39"/>
      <c r="M24" s="13">
        <f t="shared" si="9"/>
        <v>45588.657511574071</v>
      </c>
      <c r="N24" s="8">
        <f t="shared" si="0"/>
        <v>45588</v>
      </c>
      <c r="O24" s="29">
        <f t="shared" si="1"/>
        <v>0.65751157407066785</v>
      </c>
      <c r="Q24" t="b">
        <f t="shared" si="2"/>
        <v>0</v>
      </c>
      <c r="S24" s="62">
        <v>11</v>
      </c>
      <c r="T24" s="51">
        <v>45589</v>
      </c>
      <c r="U24" s="51" t="s">
        <v>44</v>
      </c>
      <c r="V24" s="51" t="s">
        <v>45</v>
      </c>
      <c r="W24" s="51" t="s">
        <v>46</v>
      </c>
      <c r="X24" s="51" t="s">
        <v>47</v>
      </c>
      <c r="Y24" s="51" t="s">
        <v>48</v>
      </c>
      <c r="Z24" s="64" t="s">
        <v>262</v>
      </c>
    </row>
    <row r="25" spans="2:26" ht="15.75" thickBot="1">
      <c r="B25" s="6">
        <v>10</v>
      </c>
      <c r="C25" s="7">
        <v>45588</v>
      </c>
      <c r="D25" s="32">
        <v>0.66792824074074064</v>
      </c>
      <c r="E25" s="6">
        <v>25.4</v>
      </c>
      <c r="F25" s="6">
        <v>41.2</v>
      </c>
      <c r="G25" s="6">
        <v>98.3</v>
      </c>
      <c r="H25" s="6">
        <v>9.6999999999999993</v>
      </c>
      <c r="I25" s="15"/>
      <c r="J25" s="24"/>
      <c r="K25" s="30"/>
      <c r="L25" s="39"/>
      <c r="M25" s="13">
        <f t="shared" si="9"/>
        <v>45588.667928240742</v>
      </c>
      <c r="N25" s="8">
        <f t="shared" si="0"/>
        <v>45588</v>
      </c>
      <c r="O25" s="29">
        <f t="shared" si="1"/>
        <v>0.66792824074218515</v>
      </c>
      <c r="Q25" t="b">
        <f t="shared" si="2"/>
        <v>0</v>
      </c>
      <c r="S25" s="65">
        <v>13</v>
      </c>
      <c r="T25" s="67">
        <v>45590</v>
      </c>
      <c r="U25" s="67" t="s">
        <v>49</v>
      </c>
      <c r="V25" s="67" t="s">
        <v>50</v>
      </c>
      <c r="W25" s="67" t="s">
        <v>51</v>
      </c>
      <c r="X25" s="67" t="s">
        <v>52</v>
      </c>
      <c r="Y25" s="67" t="s">
        <v>53</v>
      </c>
      <c r="Z25" s="68" t="s">
        <v>263</v>
      </c>
    </row>
    <row r="26" spans="2:26">
      <c r="B26" s="6">
        <v>11</v>
      </c>
      <c r="C26" s="7">
        <v>45588</v>
      </c>
      <c r="D26" s="32">
        <v>0.67834490740740738</v>
      </c>
      <c r="E26" s="6">
        <v>25.3</v>
      </c>
      <c r="F26" s="6">
        <v>39.299999999999997</v>
      </c>
      <c r="G26" s="6">
        <v>98.3</v>
      </c>
      <c r="H26" s="6">
        <v>9.1999999999999993</v>
      </c>
      <c r="I26" s="15"/>
      <c r="J26" s="24"/>
      <c r="K26" s="30"/>
      <c r="L26" s="39"/>
      <c r="M26" s="13">
        <f t="shared" si="9"/>
        <v>45588.678344907406</v>
      </c>
      <c r="N26" s="8">
        <f t="shared" si="0"/>
        <v>45588</v>
      </c>
      <c r="O26" s="29">
        <f t="shared" si="1"/>
        <v>0.6783449074064265</v>
      </c>
      <c r="Q26" t="b">
        <f t="shared" si="2"/>
        <v>0</v>
      </c>
    </row>
    <row r="27" spans="2:26">
      <c r="B27" s="6">
        <v>12</v>
      </c>
      <c r="C27" s="7">
        <v>45588</v>
      </c>
      <c r="D27" s="32">
        <v>0.68876157407407401</v>
      </c>
      <c r="E27" s="6">
        <v>25.3</v>
      </c>
      <c r="F27" s="6">
        <v>39.6</v>
      </c>
      <c r="G27" s="6">
        <v>98.3</v>
      </c>
      <c r="H27" s="6">
        <v>9.1999999999999993</v>
      </c>
      <c r="I27" s="15"/>
      <c r="J27" s="24"/>
      <c r="K27" s="30"/>
      <c r="L27" s="39"/>
      <c r="M27" s="13">
        <f t="shared" si="9"/>
        <v>45588.688761574071</v>
      </c>
      <c r="N27" s="8">
        <f t="shared" si="0"/>
        <v>45588</v>
      </c>
      <c r="O27" s="29">
        <f t="shared" si="1"/>
        <v>0.68876157407066785</v>
      </c>
      <c r="Q27" t="b">
        <f t="shared" si="2"/>
        <v>0</v>
      </c>
    </row>
    <row r="28" spans="2:26">
      <c r="B28" s="6">
        <v>13</v>
      </c>
      <c r="C28" s="7">
        <v>45588</v>
      </c>
      <c r="D28" s="32">
        <v>0.69917824074074064</v>
      </c>
      <c r="E28" s="6">
        <v>25.3</v>
      </c>
      <c r="F28" s="6">
        <v>38.4</v>
      </c>
      <c r="G28" s="6">
        <v>98.3</v>
      </c>
      <c r="H28" s="6">
        <v>8.9</v>
      </c>
      <c r="I28" s="15"/>
      <c r="J28" s="24"/>
      <c r="K28" s="30"/>
      <c r="L28" s="39"/>
      <c r="M28" s="13">
        <f t="shared" si="9"/>
        <v>45588.699178240742</v>
      </c>
      <c r="N28" s="8">
        <f t="shared" si="0"/>
        <v>45588</v>
      </c>
      <c r="O28" s="29">
        <f t="shared" si="1"/>
        <v>0.69917824074218515</v>
      </c>
      <c r="Q28" t="b">
        <f t="shared" si="2"/>
        <v>0</v>
      </c>
    </row>
    <row r="29" spans="2:26">
      <c r="B29" s="6">
        <v>15</v>
      </c>
      <c r="C29" s="7">
        <v>45589</v>
      </c>
      <c r="D29" s="32">
        <v>0.56957175925925929</v>
      </c>
      <c r="E29" s="6">
        <v>11.7</v>
      </c>
      <c r="F29" s="6">
        <v>55.8</v>
      </c>
      <c r="G29" s="6">
        <v>100.4</v>
      </c>
      <c r="H29" s="6">
        <v>5.8</v>
      </c>
      <c r="I29" s="15"/>
      <c r="J29" s="24"/>
      <c r="K29" s="30"/>
      <c r="L29" s="39"/>
      <c r="M29" s="13">
        <f t="shared" si="9"/>
        <v>45589.569571759261</v>
      </c>
      <c r="N29" s="8">
        <f t="shared" si="0"/>
        <v>45589</v>
      </c>
      <c r="O29" s="29">
        <f t="shared" si="1"/>
        <v>0.56957175926072523</v>
      </c>
      <c r="Q29" t="b">
        <f t="shared" si="2"/>
        <v>0</v>
      </c>
    </row>
    <row r="30" spans="2:26">
      <c r="B30" s="6">
        <v>16</v>
      </c>
      <c r="C30" s="7">
        <v>45589</v>
      </c>
      <c r="D30" s="32">
        <v>0.57998842592592592</v>
      </c>
      <c r="E30" s="6">
        <v>11.4</v>
      </c>
      <c r="F30" s="6">
        <v>57.6</v>
      </c>
      <c r="G30" s="6">
        <v>100.4</v>
      </c>
      <c r="H30" s="6">
        <v>5.9</v>
      </c>
      <c r="I30" s="15"/>
      <c r="J30" s="24"/>
      <c r="K30" s="30"/>
      <c r="L30" s="39"/>
      <c r="M30" s="13">
        <f t="shared" si="9"/>
        <v>45589.579988425925</v>
      </c>
      <c r="N30" s="8">
        <f t="shared" si="0"/>
        <v>45589</v>
      </c>
      <c r="O30" s="29">
        <f t="shared" si="1"/>
        <v>0.57998842592496658</v>
      </c>
      <c r="Q30" t="b">
        <f t="shared" si="2"/>
        <v>0</v>
      </c>
    </row>
    <row r="31" spans="2:26">
      <c r="B31" s="6">
        <v>17</v>
      </c>
      <c r="C31" s="7">
        <v>45589</v>
      </c>
      <c r="D31" s="32">
        <v>0.59040509259259266</v>
      </c>
      <c r="E31" s="6">
        <v>10.5</v>
      </c>
      <c r="F31" s="6">
        <v>60.1</v>
      </c>
      <c r="G31" s="6">
        <v>100.4</v>
      </c>
      <c r="H31" s="6">
        <v>5.8</v>
      </c>
      <c r="I31" s="15"/>
      <c r="J31" s="24"/>
      <c r="K31" s="30"/>
      <c r="L31" s="39"/>
      <c r="M31" s="13">
        <f t="shared" si="9"/>
        <v>45589.590405092589</v>
      </c>
      <c r="N31" s="8">
        <f t="shared" si="0"/>
        <v>45589</v>
      </c>
      <c r="O31" s="29">
        <f t="shared" si="1"/>
        <v>0.59040509258920792</v>
      </c>
      <c r="Q31" t="b">
        <f t="shared" si="2"/>
        <v>0</v>
      </c>
    </row>
    <row r="32" spans="2:26">
      <c r="B32" s="6">
        <v>18</v>
      </c>
      <c r="C32" s="7">
        <v>45589</v>
      </c>
      <c r="D32" s="32">
        <v>0.60082175925925929</v>
      </c>
      <c r="E32" s="6">
        <v>10.5</v>
      </c>
      <c r="F32" s="6">
        <v>60.1</v>
      </c>
      <c r="G32" s="6">
        <v>100.4</v>
      </c>
      <c r="H32" s="6">
        <v>5.8</v>
      </c>
      <c r="I32" s="15"/>
      <c r="J32" s="24"/>
      <c r="K32" s="30"/>
      <c r="L32" s="39"/>
      <c r="M32" s="13">
        <f t="shared" si="9"/>
        <v>45589.600821759261</v>
      </c>
      <c r="N32" s="8">
        <f t="shared" si="0"/>
        <v>45589</v>
      </c>
      <c r="O32" s="29">
        <f t="shared" si="1"/>
        <v>0.60082175926072523</v>
      </c>
      <c r="Q32" t="b">
        <f t="shared" si="2"/>
        <v>0</v>
      </c>
    </row>
    <row r="33" spans="2:17">
      <c r="B33" s="6">
        <v>19</v>
      </c>
      <c r="C33" s="7">
        <v>45589</v>
      </c>
      <c r="D33" s="32">
        <v>0.61123842592592592</v>
      </c>
      <c r="E33" s="6">
        <v>10</v>
      </c>
      <c r="F33" s="6">
        <v>62.6</v>
      </c>
      <c r="G33" s="6">
        <v>100.3</v>
      </c>
      <c r="H33" s="6">
        <v>5.9</v>
      </c>
      <c r="I33" s="15"/>
      <c r="J33" s="24"/>
      <c r="K33" s="30"/>
      <c r="L33" s="39"/>
      <c r="M33" s="13">
        <f t="shared" si="9"/>
        <v>45589.611238425925</v>
      </c>
      <c r="N33" s="8">
        <f t="shared" si="0"/>
        <v>45589</v>
      </c>
      <c r="O33" s="29">
        <f t="shared" si="1"/>
        <v>0.61123842592496658</v>
      </c>
      <c r="Q33" t="b">
        <f t="shared" si="2"/>
        <v>0</v>
      </c>
    </row>
    <row r="34" spans="2:17">
      <c r="B34" s="6">
        <v>20</v>
      </c>
      <c r="C34" s="7">
        <v>45589</v>
      </c>
      <c r="D34" s="32">
        <v>0.62165509259259266</v>
      </c>
      <c r="E34" s="6">
        <v>10.4</v>
      </c>
      <c r="F34" s="6">
        <v>61.6</v>
      </c>
      <c r="G34" s="6">
        <v>100.4</v>
      </c>
      <c r="H34" s="6">
        <v>6</v>
      </c>
      <c r="I34" s="15"/>
      <c r="J34" s="24"/>
      <c r="K34" s="30"/>
      <c r="L34" s="39"/>
      <c r="M34" s="13">
        <f t="shared" si="9"/>
        <v>45589.621655092589</v>
      </c>
      <c r="N34" s="8">
        <f t="shared" si="0"/>
        <v>45589</v>
      </c>
      <c r="O34" s="29">
        <f t="shared" si="1"/>
        <v>0.62165509258920792</v>
      </c>
      <c r="Q34" t="b">
        <f t="shared" si="2"/>
        <v>0</v>
      </c>
    </row>
    <row r="35" spans="2:17">
      <c r="B35" s="6">
        <v>21</v>
      </c>
      <c r="C35" s="7">
        <v>45589</v>
      </c>
      <c r="D35" s="32">
        <v>0.63207175925925929</v>
      </c>
      <c r="E35" s="6">
        <v>10.7</v>
      </c>
      <c r="F35" s="6">
        <v>60.7</v>
      </c>
      <c r="G35" s="6">
        <v>100.4</v>
      </c>
      <c r="H35" s="6">
        <v>6</v>
      </c>
      <c r="I35" s="15"/>
      <c r="J35" s="24"/>
      <c r="K35" s="30"/>
      <c r="L35" s="39"/>
      <c r="M35" s="13">
        <f t="shared" si="9"/>
        <v>45589.632071759261</v>
      </c>
      <c r="N35" s="8">
        <f t="shared" si="0"/>
        <v>45589</v>
      </c>
      <c r="O35" s="29">
        <f t="shared" si="1"/>
        <v>0.63207175926072523</v>
      </c>
      <c r="Q35" t="b">
        <f t="shared" si="2"/>
        <v>0</v>
      </c>
    </row>
    <row r="36" spans="2:17">
      <c r="B36" s="6">
        <v>22</v>
      </c>
      <c r="C36" s="7">
        <v>45589</v>
      </c>
      <c r="D36" s="32">
        <v>0.64248842592592592</v>
      </c>
      <c r="E36" s="6">
        <v>9.6</v>
      </c>
      <c r="F36" s="6">
        <v>64.900000000000006</v>
      </c>
      <c r="G36" s="6">
        <v>100.3</v>
      </c>
      <c r="H36" s="6">
        <v>6</v>
      </c>
      <c r="I36" s="15"/>
      <c r="J36" s="24"/>
      <c r="K36" s="30"/>
      <c r="L36" s="39"/>
      <c r="M36" s="13">
        <f t="shared" si="9"/>
        <v>45589.642488425925</v>
      </c>
      <c r="N36" s="8">
        <f t="shared" si="0"/>
        <v>45589</v>
      </c>
      <c r="O36" s="29">
        <f t="shared" si="1"/>
        <v>0.64248842592496658</v>
      </c>
      <c r="Q36" t="b">
        <f t="shared" si="2"/>
        <v>0</v>
      </c>
    </row>
    <row r="37" spans="2:17">
      <c r="B37" s="6">
        <v>23</v>
      </c>
      <c r="C37" s="7">
        <v>45589</v>
      </c>
      <c r="D37" s="32">
        <v>0.65290509259259266</v>
      </c>
      <c r="E37" s="6">
        <v>9.4</v>
      </c>
      <c r="F37" s="6">
        <v>67.099999999999994</v>
      </c>
      <c r="G37" s="6">
        <v>100.3</v>
      </c>
      <c r="H37" s="6">
        <v>6.1</v>
      </c>
      <c r="I37" s="15"/>
      <c r="J37" s="24"/>
      <c r="K37" s="30"/>
      <c r="L37" s="39"/>
      <c r="M37" s="13">
        <f t="shared" si="9"/>
        <v>45589.652905092589</v>
      </c>
      <c r="N37" s="8">
        <f t="shared" si="0"/>
        <v>45589</v>
      </c>
      <c r="O37" s="29">
        <f t="shared" si="1"/>
        <v>0.65290509258920792</v>
      </c>
      <c r="Q37" t="b">
        <f t="shared" si="2"/>
        <v>0</v>
      </c>
    </row>
    <row r="38" spans="2:17">
      <c r="B38" s="6">
        <v>24</v>
      </c>
      <c r="C38" s="7">
        <v>45589</v>
      </c>
      <c r="D38" s="32">
        <v>0.66332175925925929</v>
      </c>
      <c r="E38" s="6">
        <v>9.1999999999999993</v>
      </c>
      <c r="F38" s="6">
        <v>68.400000000000006</v>
      </c>
      <c r="G38" s="6">
        <v>100.3</v>
      </c>
      <c r="H38" s="6">
        <v>6.1</v>
      </c>
      <c r="I38" s="15"/>
      <c r="J38" s="24"/>
      <c r="K38" s="30"/>
      <c r="L38" s="39"/>
      <c r="M38" s="13">
        <f t="shared" si="9"/>
        <v>45589.663321759261</v>
      </c>
      <c r="N38" s="8">
        <f t="shared" si="0"/>
        <v>45589</v>
      </c>
      <c r="O38" s="29">
        <f t="shared" si="1"/>
        <v>0.66332175926072523</v>
      </c>
      <c r="Q38" t="b">
        <f t="shared" si="2"/>
        <v>0</v>
      </c>
    </row>
    <row r="39" spans="2:17">
      <c r="B39" s="6">
        <v>25</v>
      </c>
      <c r="C39" s="7">
        <v>45589</v>
      </c>
      <c r="D39" s="32">
        <v>0.67373842592592592</v>
      </c>
      <c r="E39" s="6">
        <v>9.1999999999999993</v>
      </c>
      <c r="F39" s="6">
        <v>69.3</v>
      </c>
      <c r="G39" s="6">
        <v>100.3</v>
      </c>
      <c r="H39" s="6">
        <v>6.2</v>
      </c>
      <c r="I39" s="15"/>
      <c r="J39" s="24"/>
      <c r="K39" s="30"/>
      <c r="L39" s="39"/>
      <c r="M39" s="13">
        <f t="shared" si="9"/>
        <v>45589.673738425925</v>
      </c>
      <c r="N39" s="8">
        <f t="shared" si="0"/>
        <v>45589</v>
      </c>
      <c r="O39" s="29">
        <f t="shared" si="1"/>
        <v>0.67373842592496658</v>
      </c>
      <c r="Q39" t="b">
        <f t="shared" si="2"/>
        <v>0</v>
      </c>
    </row>
    <row r="40" spans="2:17">
      <c r="B40" s="6">
        <v>27</v>
      </c>
      <c r="C40" s="7">
        <v>45590</v>
      </c>
      <c r="D40" s="32">
        <v>0.41715277777777776</v>
      </c>
      <c r="E40" s="6">
        <v>8.6999999999999993</v>
      </c>
      <c r="F40" s="6">
        <v>65.2</v>
      </c>
      <c r="G40" s="6">
        <v>100.5</v>
      </c>
      <c r="H40" s="6">
        <v>5.7</v>
      </c>
      <c r="I40" s="15"/>
      <c r="J40" s="24"/>
      <c r="K40" s="30"/>
      <c r="L40" s="39"/>
      <c r="M40" s="13">
        <f t="shared" si="9"/>
        <v>45590.41715277778</v>
      </c>
      <c r="N40" s="8">
        <f t="shared" si="0"/>
        <v>45590</v>
      </c>
      <c r="O40" s="29">
        <f t="shared" si="1"/>
        <v>0.41715277777984738</v>
      </c>
      <c r="Q40" t="b">
        <f t="shared" si="2"/>
        <v>0</v>
      </c>
    </row>
    <row r="41" spans="2:17">
      <c r="B41" s="6">
        <v>28</v>
      </c>
      <c r="C41" s="7">
        <v>45590</v>
      </c>
      <c r="D41" s="32">
        <v>0.42756944444444445</v>
      </c>
      <c r="E41" s="6">
        <v>8.1999999999999993</v>
      </c>
      <c r="F41" s="6">
        <v>66.5</v>
      </c>
      <c r="G41" s="6">
        <v>100.5</v>
      </c>
      <c r="H41" s="6">
        <v>5.6</v>
      </c>
      <c r="I41" s="15"/>
      <c r="J41" s="24"/>
      <c r="K41" s="30"/>
      <c r="L41" s="39"/>
      <c r="M41" s="13">
        <f t="shared" si="9"/>
        <v>45590.427569444444</v>
      </c>
      <c r="N41" s="8">
        <f t="shared" si="0"/>
        <v>45590</v>
      </c>
      <c r="O41" s="29">
        <f t="shared" si="1"/>
        <v>0.42756944444408873</v>
      </c>
      <c r="Q41" t="b">
        <f t="shared" si="2"/>
        <v>0</v>
      </c>
    </row>
    <row r="42" spans="2:17">
      <c r="B42" s="6">
        <v>29</v>
      </c>
      <c r="C42" s="7">
        <v>45590</v>
      </c>
      <c r="D42" s="32">
        <v>0.43798611111111113</v>
      </c>
      <c r="E42" s="6">
        <v>8.3000000000000007</v>
      </c>
      <c r="F42" s="6">
        <v>64.3</v>
      </c>
      <c r="G42" s="6">
        <v>100.5</v>
      </c>
      <c r="H42" s="6">
        <v>5.4</v>
      </c>
      <c r="I42" s="15"/>
      <c r="J42" s="24"/>
      <c r="K42" s="30"/>
      <c r="L42" s="39"/>
      <c r="M42" s="13">
        <f t="shared" si="9"/>
        <v>45590.437986111108</v>
      </c>
      <c r="N42" s="8">
        <f t="shared" si="0"/>
        <v>45590</v>
      </c>
      <c r="O42" s="29">
        <f t="shared" si="1"/>
        <v>0.43798611110833008</v>
      </c>
      <c r="Q42" t="b">
        <f t="shared" si="2"/>
        <v>0</v>
      </c>
    </row>
    <row r="43" spans="2:17">
      <c r="B43" s="6">
        <v>30</v>
      </c>
      <c r="C43" s="7">
        <v>45590</v>
      </c>
      <c r="D43" s="32">
        <v>0.44840277777777776</v>
      </c>
      <c r="E43" s="6">
        <v>8.4</v>
      </c>
      <c r="F43" s="6">
        <v>64.400000000000006</v>
      </c>
      <c r="G43" s="6">
        <v>100.5</v>
      </c>
      <c r="H43" s="6">
        <v>5.5</v>
      </c>
      <c r="I43" s="15"/>
      <c r="J43" s="24"/>
      <c r="K43" s="30"/>
      <c r="L43" s="39"/>
      <c r="M43" s="13">
        <f t="shared" si="9"/>
        <v>45590.44840277778</v>
      </c>
      <c r="N43" s="8">
        <f t="shared" si="0"/>
        <v>45590</v>
      </c>
      <c r="O43" s="29">
        <f t="shared" si="1"/>
        <v>0.44840277777984738</v>
      </c>
      <c r="Q43" t="b">
        <f t="shared" si="2"/>
        <v>0</v>
      </c>
    </row>
    <row r="44" spans="2:17">
      <c r="B44" s="6">
        <v>31</v>
      </c>
      <c r="C44" s="7">
        <v>45590</v>
      </c>
      <c r="D44" s="32">
        <v>0.45771990740740742</v>
      </c>
      <c r="E44" s="6">
        <v>8.3000000000000007</v>
      </c>
      <c r="F44" s="6">
        <v>68.7</v>
      </c>
      <c r="G44" s="6">
        <v>100.7</v>
      </c>
      <c r="H44" s="6">
        <v>5.8</v>
      </c>
      <c r="I44" s="15"/>
      <c r="J44" s="24"/>
      <c r="K44" s="30"/>
      <c r="L44" s="39"/>
      <c r="M44" s="13">
        <f t="shared" si="9"/>
        <v>45590.457719907405</v>
      </c>
      <c r="N44" s="8">
        <f t="shared" si="0"/>
        <v>45590</v>
      </c>
      <c r="O44" s="29">
        <f t="shared" si="1"/>
        <v>0.45771990740468027</v>
      </c>
      <c r="Q44" t="b">
        <f t="shared" si="2"/>
        <v>0</v>
      </c>
    </row>
    <row r="45" spans="2:17">
      <c r="B45" s="6">
        <v>38</v>
      </c>
      <c r="C45" s="7">
        <v>45590</v>
      </c>
      <c r="D45" s="32">
        <v>0.53062500000000001</v>
      </c>
      <c r="E45" s="6">
        <v>10</v>
      </c>
      <c r="F45" s="6">
        <v>54.7</v>
      </c>
      <c r="G45" s="6">
        <v>100.6</v>
      </c>
      <c r="H45" s="6">
        <v>5.0999999999999996</v>
      </c>
      <c r="I45" s="15"/>
      <c r="J45" s="24"/>
      <c r="K45" s="30"/>
      <c r="L45" s="39"/>
      <c r="M45" s="13">
        <f t="shared" si="9"/>
        <v>45590.530624999999</v>
      </c>
      <c r="N45" s="8">
        <f t="shared" si="0"/>
        <v>45590</v>
      </c>
      <c r="O45" s="29">
        <f t="shared" si="1"/>
        <v>0.53062499999941792</v>
      </c>
      <c r="Q45" t="b">
        <f t="shared" si="2"/>
        <v>0</v>
      </c>
    </row>
    <row r="46" spans="2:17">
      <c r="B46" s="6">
        <v>39</v>
      </c>
      <c r="C46" s="7">
        <v>45590</v>
      </c>
      <c r="D46" s="32">
        <v>0.54104166666666664</v>
      </c>
      <c r="E46" s="6">
        <v>8.5</v>
      </c>
      <c r="F46" s="6">
        <v>56.2</v>
      </c>
      <c r="G46" s="6">
        <v>100.6</v>
      </c>
      <c r="H46" s="6">
        <v>4.8</v>
      </c>
      <c r="I46" s="15"/>
      <c r="J46" s="24"/>
      <c r="K46" s="30"/>
      <c r="L46" s="39"/>
      <c r="M46" s="13">
        <f t="shared" si="9"/>
        <v>45590.541041666664</v>
      </c>
      <c r="N46" s="8">
        <f t="shared" si="0"/>
        <v>45590</v>
      </c>
      <c r="O46" s="29">
        <f t="shared" si="1"/>
        <v>0.54104166666365927</v>
      </c>
      <c r="Q46" t="b">
        <f t="shared" si="2"/>
        <v>0</v>
      </c>
    </row>
    <row r="47" spans="2:17">
      <c r="B47" s="6">
        <v>40</v>
      </c>
      <c r="C47" s="7">
        <v>45590</v>
      </c>
      <c r="D47" s="32">
        <v>0.55145833333333327</v>
      </c>
      <c r="E47" s="6">
        <v>8.4</v>
      </c>
      <c r="F47" s="6">
        <v>53.3</v>
      </c>
      <c r="G47" s="6">
        <v>100.6</v>
      </c>
      <c r="H47" s="6">
        <v>4.5</v>
      </c>
      <c r="I47" s="15"/>
      <c r="J47" s="24"/>
      <c r="K47" s="30"/>
      <c r="L47" s="39"/>
      <c r="M47" s="13">
        <f t="shared" si="9"/>
        <v>45590.551458333335</v>
      </c>
      <c r="N47" s="8">
        <f t="shared" si="0"/>
        <v>45590</v>
      </c>
      <c r="O47" s="29">
        <f t="shared" si="1"/>
        <v>0.55145833333517658</v>
      </c>
      <c r="Q47" t="b">
        <f t="shared" si="2"/>
        <v>0</v>
      </c>
    </row>
    <row r="48" spans="2:17">
      <c r="B48" s="6">
        <v>41</v>
      </c>
      <c r="C48" s="7">
        <v>45590</v>
      </c>
      <c r="D48" s="32">
        <v>0.56187500000000001</v>
      </c>
      <c r="E48" s="6">
        <v>8.6999999999999993</v>
      </c>
      <c r="F48" s="6">
        <v>55.5</v>
      </c>
      <c r="G48" s="6">
        <v>100.6</v>
      </c>
      <c r="H48" s="6">
        <v>4.8</v>
      </c>
      <c r="I48" s="15"/>
      <c r="J48" s="24"/>
      <c r="K48" s="30"/>
      <c r="L48" s="39"/>
      <c r="M48" s="13">
        <f t="shared" si="9"/>
        <v>45590.561874999999</v>
      </c>
      <c r="N48" s="8">
        <f t="shared" si="0"/>
        <v>45590</v>
      </c>
      <c r="O48" s="29">
        <f t="shared" si="1"/>
        <v>0.56187499999941792</v>
      </c>
      <c r="Q48" t="b">
        <f t="shared" si="2"/>
        <v>0</v>
      </c>
    </row>
    <row r="49" spans="2:17">
      <c r="B49" s="6">
        <v>42</v>
      </c>
      <c r="C49" s="7">
        <v>45590</v>
      </c>
      <c r="D49" s="32">
        <v>0.57229166666666664</v>
      </c>
      <c r="E49" s="6">
        <v>9.3000000000000007</v>
      </c>
      <c r="F49" s="6">
        <v>55.9</v>
      </c>
      <c r="G49" s="6">
        <v>100.6</v>
      </c>
      <c r="H49" s="6">
        <v>5</v>
      </c>
      <c r="I49" s="15"/>
      <c r="J49" s="24"/>
      <c r="K49" s="30"/>
      <c r="L49" s="39"/>
      <c r="M49" s="13">
        <f t="shared" si="9"/>
        <v>45590.572291666664</v>
      </c>
      <c r="N49" s="8">
        <f t="shared" si="0"/>
        <v>45590</v>
      </c>
      <c r="O49" s="29">
        <f t="shared" si="1"/>
        <v>0.57229166666365927</v>
      </c>
      <c r="Q49" t="b">
        <f t="shared" si="2"/>
        <v>0</v>
      </c>
    </row>
    <row r="50" spans="2:17">
      <c r="B50" s="6">
        <v>43</v>
      </c>
      <c r="C50" s="7">
        <v>45590</v>
      </c>
      <c r="D50" s="32">
        <v>0.58270833333333327</v>
      </c>
      <c r="E50" s="6">
        <v>8.3000000000000007</v>
      </c>
      <c r="F50" s="6">
        <v>57.9</v>
      </c>
      <c r="G50" s="6">
        <v>100.6</v>
      </c>
      <c r="H50" s="6">
        <v>4.9000000000000004</v>
      </c>
      <c r="I50" s="15"/>
      <c r="J50" s="24"/>
      <c r="K50" s="30"/>
      <c r="L50" s="39"/>
      <c r="M50" s="13">
        <f t="shared" si="9"/>
        <v>45590.582708333335</v>
      </c>
      <c r="N50" s="8">
        <f t="shared" si="0"/>
        <v>45590</v>
      </c>
      <c r="O50" s="29">
        <f t="shared" si="1"/>
        <v>0.58270833333517658</v>
      </c>
      <c r="Q50" t="b">
        <f t="shared" si="2"/>
        <v>0</v>
      </c>
    </row>
    <row r="51" spans="2:17">
      <c r="B51" s="6">
        <v>44</v>
      </c>
      <c r="C51" s="7">
        <v>45590</v>
      </c>
      <c r="D51" s="32">
        <v>0.59312500000000001</v>
      </c>
      <c r="E51" s="6">
        <v>8</v>
      </c>
      <c r="F51" s="6">
        <v>59.8</v>
      </c>
      <c r="G51" s="6">
        <v>100.6</v>
      </c>
      <c r="H51" s="6">
        <v>5</v>
      </c>
      <c r="I51" s="15"/>
      <c r="J51" s="24"/>
      <c r="K51" s="30"/>
      <c r="L51" s="39"/>
      <c r="M51" s="13">
        <f t="shared" si="9"/>
        <v>45590.593124999999</v>
      </c>
      <c r="N51" s="8">
        <f t="shared" si="0"/>
        <v>45590</v>
      </c>
      <c r="O51" s="29">
        <f t="shared" si="1"/>
        <v>0.59312499999941792</v>
      </c>
      <c r="Q51" t="b">
        <f t="shared" si="2"/>
        <v>0</v>
      </c>
    </row>
    <row r="52" spans="2:17">
      <c r="B52" s="6">
        <v>45</v>
      </c>
      <c r="C52" s="7">
        <v>45590</v>
      </c>
      <c r="D52" s="32">
        <v>0.60354166666666664</v>
      </c>
      <c r="E52" s="6">
        <v>8</v>
      </c>
      <c r="F52" s="6">
        <v>59.6</v>
      </c>
      <c r="G52" s="6">
        <v>100.6</v>
      </c>
      <c r="H52" s="6">
        <v>4.9000000000000004</v>
      </c>
      <c r="I52" s="15"/>
      <c r="J52" s="24"/>
      <c r="K52" s="30"/>
      <c r="L52" s="39"/>
      <c r="M52" s="13">
        <f t="shared" si="9"/>
        <v>45590.603541666664</v>
      </c>
      <c r="N52" s="8">
        <f t="shared" si="0"/>
        <v>45590</v>
      </c>
      <c r="O52" s="29">
        <f t="shared" si="1"/>
        <v>0.60354166666365927</v>
      </c>
      <c r="Q52" t="b">
        <f t="shared" si="2"/>
        <v>0</v>
      </c>
    </row>
    <row r="53" spans="2:17">
      <c r="B53" s="5"/>
      <c r="C53" s="20"/>
      <c r="D53" s="34"/>
      <c r="E53" s="5"/>
      <c r="F53" s="5"/>
      <c r="G53" s="5"/>
      <c r="H53" s="5"/>
      <c r="I53" s="5"/>
      <c r="J53" s="25"/>
      <c r="K53" s="31"/>
      <c r="L53" s="40"/>
      <c r="M53" s="19"/>
      <c r="N53" s="25"/>
      <c r="O53" s="31"/>
    </row>
    <row r="54" spans="2:17">
      <c r="B54" s="5"/>
      <c r="C54" s="20"/>
      <c r="D54" s="34"/>
      <c r="E54" s="5"/>
      <c r="F54" s="5"/>
      <c r="G54" s="5" t="s">
        <v>21</v>
      </c>
      <c r="H54" s="5"/>
      <c r="I54" s="5"/>
      <c r="J54" s="25"/>
      <c r="K54" s="31"/>
      <c r="L54" s="40"/>
      <c r="M54" s="19"/>
      <c r="N54" s="25"/>
      <c r="O54" s="31"/>
    </row>
    <row r="55" spans="2:17">
      <c r="B55" s="5"/>
      <c r="C55" s="20"/>
      <c r="D55" s="34"/>
      <c r="E55" s="5"/>
      <c r="F55" s="5"/>
      <c r="G55" s="5"/>
      <c r="H55" s="5"/>
      <c r="I55" s="5"/>
      <c r="J55" s="25"/>
      <c r="K55" s="31"/>
      <c r="L55" s="40"/>
      <c r="M55" s="19"/>
      <c r="N55" s="25"/>
      <c r="O55" s="31"/>
    </row>
    <row r="56" spans="2:17">
      <c r="B56" s="5"/>
      <c r="C56" s="20"/>
      <c r="D56" s="34"/>
      <c r="E56" s="5"/>
      <c r="F56" s="5"/>
      <c r="G56" s="5"/>
      <c r="H56" s="5"/>
      <c r="I56" s="5"/>
      <c r="J56" s="25"/>
      <c r="K56" s="31"/>
      <c r="L56" s="40"/>
      <c r="M56" s="19"/>
      <c r="N56" s="25"/>
      <c r="O56" s="31"/>
    </row>
    <row r="57" spans="2:17">
      <c r="B57" s="5"/>
      <c r="C57" s="20"/>
      <c r="D57" s="34"/>
      <c r="E57" s="5"/>
      <c r="F57" s="5"/>
      <c r="G57" s="5"/>
      <c r="H57" s="5"/>
      <c r="I57" s="5"/>
      <c r="J57" s="25"/>
      <c r="K57" s="31"/>
      <c r="L57" s="40"/>
      <c r="M57" s="19"/>
      <c r="N57" s="25"/>
      <c r="O57" s="31"/>
    </row>
    <row r="58" spans="2:17">
      <c r="B58" s="5"/>
      <c r="C58" s="20"/>
      <c r="D58" s="34"/>
      <c r="E58" s="5"/>
      <c r="F58" s="5"/>
      <c r="G58" s="5"/>
      <c r="H58" s="5"/>
      <c r="I58" s="5"/>
      <c r="J58" s="25"/>
      <c r="K58" s="31"/>
      <c r="L58" s="40"/>
      <c r="M58" s="19"/>
      <c r="N58" s="25"/>
      <c r="O58" s="31"/>
    </row>
    <row r="59" spans="2:17">
      <c r="B59" s="5"/>
      <c r="C59" s="20"/>
      <c r="D59" s="34"/>
      <c r="E59" s="5"/>
      <c r="F59" s="5"/>
      <c r="G59" s="5"/>
      <c r="H59" s="5"/>
      <c r="I59" s="5"/>
      <c r="J59" s="25"/>
      <c r="K59" s="31"/>
      <c r="L59" s="40"/>
      <c r="M59" s="19"/>
      <c r="N59" s="25"/>
      <c r="O59" s="31"/>
    </row>
    <row r="60" spans="2:17">
      <c r="B60" s="5"/>
      <c r="C60" s="20"/>
      <c r="D60" s="34"/>
      <c r="E60" s="5"/>
      <c r="F60" s="5"/>
      <c r="G60" s="5"/>
      <c r="H60" s="5"/>
      <c r="I60" s="5"/>
      <c r="J60" s="25"/>
      <c r="K60" s="31"/>
      <c r="L60" s="40"/>
      <c r="M60" s="19"/>
      <c r="N60" s="25"/>
      <c r="O60" s="31"/>
    </row>
    <row r="61" spans="2:17">
      <c r="B61" s="5"/>
      <c r="C61" s="20"/>
      <c r="D61" s="34"/>
      <c r="E61" s="5"/>
      <c r="F61" s="5"/>
      <c r="G61" s="5"/>
      <c r="H61" s="5"/>
      <c r="I61" s="5"/>
      <c r="J61" s="25"/>
      <c r="K61" s="31"/>
      <c r="L61" s="40"/>
      <c r="M61" s="19"/>
      <c r="N61" s="25"/>
      <c r="O61" s="31"/>
    </row>
    <row r="62" spans="2:17">
      <c r="B62" s="5"/>
      <c r="C62" s="20"/>
      <c r="D62" s="34"/>
      <c r="E62" s="5"/>
      <c r="F62" s="5"/>
      <c r="G62" s="5"/>
      <c r="H62" s="5"/>
      <c r="I62" s="5"/>
      <c r="J62" s="25"/>
      <c r="K62" s="31"/>
      <c r="L62" s="40"/>
      <c r="M62" s="19"/>
      <c r="N62" s="25"/>
      <c r="O62" s="31"/>
    </row>
    <row r="63" spans="2:17">
      <c r="B63" s="5"/>
      <c r="C63" s="20"/>
      <c r="D63" s="34"/>
      <c r="E63" s="5"/>
      <c r="F63" s="5"/>
      <c r="G63" s="5"/>
      <c r="H63" s="5"/>
      <c r="I63" s="5"/>
      <c r="J63" s="25"/>
      <c r="K63" s="31"/>
      <c r="L63" s="40"/>
      <c r="M63" s="19"/>
      <c r="N63" s="25"/>
      <c r="O63" s="31"/>
    </row>
    <row r="64" spans="2:17">
      <c r="B64" s="5"/>
      <c r="C64" s="20"/>
      <c r="D64" s="34"/>
      <c r="E64" s="5"/>
      <c r="F64" s="5"/>
      <c r="G64" s="5"/>
      <c r="H64" s="5"/>
      <c r="I64" s="5"/>
      <c r="J64" s="25"/>
      <c r="K64" s="31"/>
      <c r="L64" s="40"/>
      <c r="M64" s="19"/>
      <c r="N64" s="25"/>
      <c r="O64" s="31"/>
    </row>
    <row r="65" spans="2:15">
      <c r="B65" s="5"/>
      <c r="C65" s="20"/>
      <c r="D65" s="34"/>
      <c r="E65" s="5"/>
      <c r="F65" s="5"/>
      <c r="G65" s="5"/>
      <c r="H65" s="5"/>
      <c r="I65" s="5"/>
      <c r="J65" s="25"/>
      <c r="K65" s="31"/>
      <c r="L65" s="40"/>
      <c r="M65" s="19"/>
      <c r="N65" s="25"/>
      <c r="O65" s="31"/>
    </row>
    <row r="66" spans="2:15">
      <c r="B66" s="5"/>
      <c r="C66" s="20"/>
      <c r="D66" s="34"/>
      <c r="E66" s="5"/>
      <c r="F66" s="5"/>
      <c r="G66" s="5"/>
      <c r="H66" s="5"/>
      <c r="I66" s="5"/>
      <c r="J66" s="25"/>
      <c r="K66" s="31"/>
      <c r="L66" s="40"/>
      <c r="M66" s="19"/>
      <c r="N66" s="25"/>
      <c r="O66" s="31"/>
    </row>
    <row r="67" spans="2:15">
      <c r="B67" s="5"/>
      <c r="C67" s="20"/>
      <c r="D67" s="34"/>
      <c r="E67" s="5"/>
      <c r="F67" s="5"/>
      <c r="G67" s="5"/>
      <c r="H67" s="5"/>
      <c r="I67" s="5"/>
      <c r="J67" s="25"/>
      <c r="K67" s="31"/>
      <c r="L67" s="40"/>
      <c r="M67" s="19"/>
      <c r="N67" s="25"/>
      <c r="O67" s="31"/>
    </row>
  </sheetData>
  <mergeCells count="1">
    <mergeCell ref="Q15:Q16"/>
  </mergeCells>
  <conditionalFormatting sqref="Q1:Q1048576">
    <cfRule type="containsText" dxfId="2" priority="1" operator="containsText" text="ИСТИНА">
      <formula>NOT(ISERROR(SEARCH("ИСТИНА",Q1)))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F99E-2AEE-4E6A-9D6D-28FFCB0BA19C}">
  <dimension ref="A1:AD39"/>
  <sheetViews>
    <sheetView workbookViewId="0">
      <selection sqref="A1:L1"/>
    </sheetView>
  </sheetViews>
  <sheetFormatPr defaultColWidth="9.140625" defaultRowHeight="12.75"/>
  <cols>
    <col min="1" max="1" width="33.5703125" style="72" bestFit="1" customWidth="1"/>
    <col min="2" max="6" width="9.140625" style="72"/>
    <col min="7" max="7" width="14.5703125" style="82" customWidth="1"/>
    <col min="8" max="16384" width="9.140625" style="72"/>
  </cols>
  <sheetData>
    <row r="1" spans="1:30">
      <c r="A1" s="91" t="s">
        <v>57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30">
      <c r="A2" s="91" t="s">
        <v>58</v>
      </c>
      <c r="B2" s="91"/>
      <c r="C2" s="91"/>
    </row>
    <row r="3" spans="1:30">
      <c r="A3" s="91" t="s">
        <v>59</v>
      </c>
      <c r="B3" s="91"/>
      <c r="C3" s="91"/>
      <c r="D3" s="91"/>
      <c r="E3" s="91"/>
      <c r="F3" s="91"/>
      <c r="G3" s="91"/>
      <c r="H3" s="91"/>
      <c r="I3" s="91"/>
    </row>
    <row r="4" spans="1:30">
      <c r="A4" s="91" t="s">
        <v>60</v>
      </c>
      <c r="B4" s="91"/>
      <c r="C4" s="91"/>
      <c r="D4" s="91"/>
      <c r="E4" s="91"/>
      <c r="F4" s="91"/>
      <c r="G4" s="91"/>
      <c r="H4" s="91"/>
      <c r="I4" s="91"/>
    </row>
    <row r="5" spans="1:30">
      <c r="A5" s="91" t="s">
        <v>61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30">
      <c r="A6" s="72" t="s">
        <v>13</v>
      </c>
    </row>
    <row r="7" spans="1:30" ht="38.25">
      <c r="A7" s="72" t="s">
        <v>62</v>
      </c>
      <c r="B7" s="73" t="s">
        <v>30</v>
      </c>
      <c r="C7" s="73" t="s">
        <v>63</v>
      </c>
      <c r="D7" s="73" t="s">
        <v>64</v>
      </c>
      <c r="E7" s="73" t="s">
        <v>65</v>
      </c>
      <c r="F7" s="73" t="s">
        <v>31</v>
      </c>
      <c r="G7" s="85" t="s">
        <v>167</v>
      </c>
      <c r="H7" s="73" t="s">
        <v>66</v>
      </c>
      <c r="I7" s="73" t="s">
        <v>67</v>
      </c>
      <c r="J7" s="73" t="s">
        <v>68</v>
      </c>
      <c r="K7" s="73" t="s">
        <v>69</v>
      </c>
      <c r="L7" s="73" t="s">
        <v>70</v>
      </c>
      <c r="M7" s="73" t="s">
        <v>71</v>
      </c>
      <c r="N7" s="73" t="s">
        <v>72</v>
      </c>
      <c r="O7" s="73" t="s">
        <v>73</v>
      </c>
      <c r="P7" s="73" t="s">
        <v>74</v>
      </c>
      <c r="Q7" s="73" t="s">
        <v>75</v>
      </c>
      <c r="R7" s="73" t="s">
        <v>76</v>
      </c>
      <c r="S7" s="73" t="s">
        <v>77</v>
      </c>
      <c r="T7" s="73" t="s">
        <v>78</v>
      </c>
      <c r="U7" s="73" t="s">
        <v>79</v>
      </c>
      <c r="V7" s="73" t="s">
        <v>80</v>
      </c>
      <c r="W7" s="73" t="s">
        <v>81</v>
      </c>
      <c r="X7" s="73" t="s">
        <v>82</v>
      </c>
      <c r="Y7" s="73" t="s">
        <v>83</v>
      </c>
      <c r="Z7" s="73" t="s">
        <v>84</v>
      </c>
      <c r="AA7" s="73" t="s">
        <v>85</v>
      </c>
      <c r="AB7" s="73" t="s">
        <v>86</v>
      </c>
      <c r="AC7" s="73" t="s">
        <v>87</v>
      </c>
      <c r="AD7" s="73" t="s">
        <v>88</v>
      </c>
    </row>
    <row r="8" spans="1:30" ht="15">
      <c r="A8" s="74" t="s">
        <v>89</v>
      </c>
      <c r="B8" s="75">
        <v>-4.0999999999999996</v>
      </c>
      <c r="C8" s="75">
        <v>983.7</v>
      </c>
      <c r="D8" s="75">
        <v>1010.9</v>
      </c>
      <c r="E8" s="75">
        <v>-2.7</v>
      </c>
      <c r="F8" s="72">
        <v>78</v>
      </c>
      <c r="G8" t="b">
        <f>OR(VALUE(LEFT(RIGHT(A8,5),2))&gt;17,VALUE(LEFT(RIGHT(A8,5),2))&lt;8)</f>
        <v>1</v>
      </c>
      <c r="H8" s="72" t="s">
        <v>90</v>
      </c>
      <c r="I8" s="72">
        <v>3</v>
      </c>
      <c r="K8" s="72">
        <v>10</v>
      </c>
      <c r="L8" s="72" t="s">
        <v>91</v>
      </c>
      <c r="M8" s="72" t="s">
        <v>92</v>
      </c>
      <c r="P8" s="75">
        <v>-2.2000000000000002</v>
      </c>
      <c r="Q8" s="75"/>
      <c r="R8" s="72" t="s">
        <v>93</v>
      </c>
      <c r="S8" s="72" t="s">
        <v>91</v>
      </c>
      <c r="T8" s="72" t="s">
        <v>94</v>
      </c>
      <c r="U8" s="72" t="s">
        <v>95</v>
      </c>
      <c r="V8" s="72" t="s">
        <v>96</v>
      </c>
      <c r="W8" s="75">
        <v>10</v>
      </c>
      <c r="X8" s="75">
        <v>-7.4</v>
      </c>
      <c r="Y8" s="72" t="s">
        <v>97</v>
      </c>
      <c r="Z8" s="72">
        <v>12</v>
      </c>
      <c r="AB8" s="75"/>
    </row>
    <row r="9" spans="1:30" ht="15">
      <c r="A9" s="74" t="s">
        <v>98</v>
      </c>
      <c r="B9" s="75">
        <v>-3.6</v>
      </c>
      <c r="C9" s="75">
        <v>986.3</v>
      </c>
      <c r="D9" s="75">
        <v>1013.7</v>
      </c>
      <c r="E9" s="75">
        <v>-1.5</v>
      </c>
      <c r="F9" s="72">
        <v>76</v>
      </c>
      <c r="G9" t="b">
        <f t="shared" ref="G9:G39" si="0">OR(VALUE(LEFT(RIGHT(A9,5),2))&gt;17,VALUE(LEFT(RIGHT(A9,5),2))&lt;8)</f>
        <v>1</v>
      </c>
      <c r="H9" s="72" t="s">
        <v>90</v>
      </c>
      <c r="I9" s="72">
        <v>4</v>
      </c>
      <c r="L9" s="72" t="s">
        <v>99</v>
      </c>
      <c r="M9" s="72" t="s">
        <v>92</v>
      </c>
      <c r="P9" s="75"/>
      <c r="Q9" s="75"/>
      <c r="R9" s="72" t="s">
        <v>100</v>
      </c>
      <c r="S9" s="72" t="s">
        <v>99</v>
      </c>
      <c r="T9" s="72" t="s">
        <v>101</v>
      </c>
      <c r="U9" s="72" t="s">
        <v>102</v>
      </c>
      <c r="V9" s="72" t="s">
        <v>96</v>
      </c>
      <c r="W9" s="75">
        <v>10</v>
      </c>
      <c r="X9" s="75">
        <v>-7.2</v>
      </c>
      <c r="Y9" s="72" t="s">
        <v>97</v>
      </c>
      <c r="Z9" s="72">
        <v>12</v>
      </c>
      <c r="AB9" s="75"/>
    </row>
    <row r="10" spans="1:30" ht="15">
      <c r="A10" s="74" t="s">
        <v>103</v>
      </c>
      <c r="B10" s="75">
        <v>-2.5</v>
      </c>
      <c r="C10" s="75">
        <v>987.8</v>
      </c>
      <c r="D10" s="75">
        <v>1015.1</v>
      </c>
      <c r="E10" s="75">
        <v>-0.8</v>
      </c>
      <c r="F10" s="72">
        <v>70</v>
      </c>
      <c r="G10" t="b">
        <f t="shared" si="0"/>
        <v>0</v>
      </c>
      <c r="H10" s="72" t="s">
        <v>104</v>
      </c>
      <c r="I10" s="72">
        <v>4</v>
      </c>
      <c r="K10" s="72">
        <v>11</v>
      </c>
      <c r="L10" s="72" t="s">
        <v>105</v>
      </c>
      <c r="M10" s="72" t="s">
        <v>92</v>
      </c>
      <c r="P10" s="75"/>
      <c r="Q10" s="75"/>
      <c r="R10" s="72" t="s">
        <v>100</v>
      </c>
      <c r="S10" s="72" t="s">
        <v>105</v>
      </c>
      <c r="T10" s="72" t="s">
        <v>101</v>
      </c>
      <c r="U10" s="72" t="s">
        <v>106</v>
      </c>
      <c r="W10" s="75">
        <v>20</v>
      </c>
      <c r="X10" s="75">
        <v>-7.2</v>
      </c>
      <c r="AB10" s="75"/>
    </row>
    <row r="11" spans="1:30" ht="15">
      <c r="A11" s="74" t="s">
        <v>107</v>
      </c>
      <c r="B11" s="75">
        <v>-2.5</v>
      </c>
      <c r="C11" s="75">
        <v>988.6</v>
      </c>
      <c r="D11" s="75">
        <v>1015.8</v>
      </c>
      <c r="E11" s="75">
        <v>0.1</v>
      </c>
      <c r="F11" s="72">
        <v>78</v>
      </c>
      <c r="G11" t="b">
        <f t="shared" si="0"/>
        <v>0</v>
      </c>
      <c r="H11" s="72" t="s">
        <v>104</v>
      </c>
      <c r="I11" s="72">
        <v>3</v>
      </c>
      <c r="L11" s="72" t="s">
        <v>105</v>
      </c>
      <c r="M11" s="72" t="s">
        <v>92</v>
      </c>
      <c r="P11" s="75"/>
      <c r="Q11" s="75"/>
      <c r="R11" s="72" t="s">
        <v>93</v>
      </c>
      <c r="S11" s="72" t="s">
        <v>108</v>
      </c>
      <c r="T11" s="72" t="s">
        <v>94</v>
      </c>
      <c r="U11" s="72" t="s">
        <v>106</v>
      </c>
      <c r="W11" s="75">
        <v>10</v>
      </c>
      <c r="X11" s="75">
        <v>-5.9</v>
      </c>
      <c r="AB11" s="75"/>
    </row>
    <row r="12" spans="1:30" ht="15">
      <c r="A12" s="74" t="s">
        <v>109</v>
      </c>
      <c r="B12" s="75">
        <v>-4.0999999999999996</v>
      </c>
      <c r="C12" s="75">
        <v>988.5</v>
      </c>
      <c r="D12" s="75">
        <v>1015.8</v>
      </c>
      <c r="E12" s="75">
        <v>0.3</v>
      </c>
      <c r="F12" s="72">
        <v>79</v>
      </c>
      <c r="G12" t="b">
        <f t="shared" si="0"/>
        <v>0</v>
      </c>
      <c r="H12" s="72" t="s">
        <v>104</v>
      </c>
      <c r="I12" s="72">
        <v>2</v>
      </c>
      <c r="L12" s="72" t="s">
        <v>110</v>
      </c>
      <c r="M12" s="72" t="s">
        <v>92</v>
      </c>
      <c r="P12" s="75">
        <v>-4.0999999999999996</v>
      </c>
      <c r="Q12" s="75"/>
      <c r="R12" s="72" t="s">
        <v>100</v>
      </c>
      <c r="S12" s="72" t="s">
        <v>110</v>
      </c>
      <c r="T12" s="72" t="s">
        <v>101</v>
      </c>
      <c r="U12" s="72" t="s">
        <v>102</v>
      </c>
      <c r="V12" s="72" t="s">
        <v>96</v>
      </c>
      <c r="W12" s="75">
        <v>10</v>
      </c>
      <c r="X12" s="75">
        <v>-7.2</v>
      </c>
      <c r="Y12" s="72">
        <v>0.2</v>
      </c>
      <c r="Z12" s="72">
        <v>12</v>
      </c>
      <c r="AB12" s="75"/>
      <c r="AC12" s="72" t="s">
        <v>111</v>
      </c>
      <c r="AD12" s="72">
        <v>19</v>
      </c>
    </row>
    <row r="13" spans="1:30" ht="15">
      <c r="A13" s="74" t="s">
        <v>112</v>
      </c>
      <c r="B13" s="75">
        <v>-2.4</v>
      </c>
      <c r="C13" s="75">
        <v>988.2</v>
      </c>
      <c r="D13" s="75">
        <v>1015.5</v>
      </c>
      <c r="E13" s="75">
        <v>0.1</v>
      </c>
      <c r="F13" s="72">
        <v>80</v>
      </c>
      <c r="G13" t="b">
        <f t="shared" si="0"/>
        <v>1</v>
      </c>
      <c r="H13" s="72" t="s">
        <v>113</v>
      </c>
      <c r="I13" s="72">
        <v>3</v>
      </c>
      <c r="L13" s="72" t="s">
        <v>105</v>
      </c>
      <c r="M13" s="72" t="s">
        <v>92</v>
      </c>
      <c r="P13" s="75">
        <v>-3.8</v>
      </c>
      <c r="Q13" s="75"/>
      <c r="R13" s="72" t="s">
        <v>114</v>
      </c>
      <c r="S13" s="72" t="s">
        <v>105</v>
      </c>
      <c r="T13" s="72" t="s">
        <v>115</v>
      </c>
      <c r="W13" s="75">
        <v>10</v>
      </c>
      <c r="X13" s="75">
        <v>-5.5</v>
      </c>
      <c r="Y13" s="72">
        <v>0.2</v>
      </c>
      <c r="Z13" s="72">
        <v>12</v>
      </c>
      <c r="AB13" s="75"/>
    </row>
    <row r="14" spans="1:30" ht="15">
      <c r="A14" s="74" t="s">
        <v>116</v>
      </c>
      <c r="B14" s="75">
        <v>-3.2</v>
      </c>
      <c r="C14" s="75">
        <v>988.1</v>
      </c>
      <c r="D14" s="75">
        <v>1015.3</v>
      </c>
      <c r="E14" s="75">
        <v>-0.3</v>
      </c>
      <c r="F14" s="72">
        <v>88</v>
      </c>
      <c r="G14" t="b">
        <f t="shared" si="0"/>
        <v>1</v>
      </c>
      <c r="H14" s="72" t="s">
        <v>113</v>
      </c>
      <c r="I14" s="72">
        <v>2</v>
      </c>
      <c r="L14" s="72" t="s">
        <v>105</v>
      </c>
      <c r="M14" s="72" t="s">
        <v>117</v>
      </c>
      <c r="N14" s="72" t="s">
        <v>118</v>
      </c>
      <c r="O14" s="72" t="s">
        <v>119</v>
      </c>
      <c r="P14" s="75"/>
      <c r="Q14" s="75"/>
      <c r="R14" s="72" t="s">
        <v>114</v>
      </c>
      <c r="S14" s="72" t="s">
        <v>105</v>
      </c>
      <c r="T14" s="72" t="s">
        <v>115</v>
      </c>
      <c r="W14" s="75">
        <v>4</v>
      </c>
      <c r="X14" s="75">
        <v>-5</v>
      </c>
      <c r="AB14" s="75"/>
    </row>
    <row r="15" spans="1:30" ht="15">
      <c r="A15" s="74" t="s">
        <v>120</v>
      </c>
      <c r="B15" s="75">
        <v>-3.8</v>
      </c>
      <c r="C15" s="75">
        <v>988.3</v>
      </c>
      <c r="D15" s="75">
        <v>1015.7</v>
      </c>
      <c r="E15" s="75">
        <v>0.1</v>
      </c>
      <c r="F15" s="72">
        <v>91</v>
      </c>
      <c r="G15" t="b">
        <f t="shared" si="0"/>
        <v>1</v>
      </c>
      <c r="H15" s="72" t="s">
        <v>113</v>
      </c>
      <c r="I15" s="72">
        <v>3</v>
      </c>
      <c r="L15" s="72" t="s">
        <v>105</v>
      </c>
      <c r="M15" s="72" t="s">
        <v>121</v>
      </c>
      <c r="N15" s="72" t="s">
        <v>118</v>
      </c>
      <c r="O15" s="72" t="s">
        <v>119</v>
      </c>
      <c r="P15" s="75"/>
      <c r="Q15" s="75"/>
      <c r="R15" s="72" t="s">
        <v>114</v>
      </c>
      <c r="S15" s="72" t="s">
        <v>105</v>
      </c>
      <c r="T15" s="72" t="s">
        <v>115</v>
      </c>
      <c r="W15" s="75">
        <v>4</v>
      </c>
      <c r="X15" s="75">
        <v>-5.0999999999999996</v>
      </c>
      <c r="AB15" s="75"/>
    </row>
    <row r="16" spans="1:30" ht="15">
      <c r="A16" s="74" t="s">
        <v>122</v>
      </c>
      <c r="B16" s="75">
        <v>-3.5</v>
      </c>
      <c r="C16" s="75">
        <v>988.2</v>
      </c>
      <c r="D16" s="75">
        <v>1015.7</v>
      </c>
      <c r="E16" s="75">
        <v>-1.3</v>
      </c>
      <c r="F16" s="72">
        <v>92</v>
      </c>
      <c r="G16" t="b">
        <f t="shared" si="0"/>
        <v>1</v>
      </c>
      <c r="H16" s="72" t="s">
        <v>113</v>
      </c>
      <c r="I16" s="72">
        <v>2</v>
      </c>
      <c r="L16" s="72" t="s">
        <v>105</v>
      </c>
      <c r="M16" s="72" t="s">
        <v>117</v>
      </c>
      <c r="N16" s="72" t="s">
        <v>119</v>
      </c>
      <c r="O16" s="72" t="s">
        <v>119</v>
      </c>
      <c r="P16" s="75"/>
      <c r="Q16" s="75">
        <v>-2</v>
      </c>
      <c r="R16" s="72" t="s">
        <v>93</v>
      </c>
      <c r="S16" s="72" t="s">
        <v>105</v>
      </c>
      <c r="T16" s="72" t="s">
        <v>94</v>
      </c>
      <c r="W16" s="75">
        <v>4</v>
      </c>
      <c r="X16" s="75">
        <v>-4.7</v>
      </c>
      <c r="Y16" s="72" t="s">
        <v>97</v>
      </c>
      <c r="Z16" s="72">
        <v>12</v>
      </c>
      <c r="AB16" s="75"/>
    </row>
    <row r="17" spans="1:30" ht="15">
      <c r="A17" s="74" t="s">
        <v>123</v>
      </c>
      <c r="B17" s="75">
        <v>-3.4</v>
      </c>
      <c r="C17" s="75">
        <v>989.5</v>
      </c>
      <c r="D17" s="75">
        <v>1016.9</v>
      </c>
      <c r="E17" s="75">
        <v>-1.2</v>
      </c>
      <c r="F17" s="72">
        <v>92</v>
      </c>
      <c r="G17" t="b">
        <f t="shared" si="0"/>
        <v>1</v>
      </c>
      <c r="H17" s="72" t="s">
        <v>104</v>
      </c>
      <c r="I17" s="72">
        <v>2</v>
      </c>
      <c r="L17" s="72" t="s">
        <v>105</v>
      </c>
      <c r="M17" s="72" t="s">
        <v>117</v>
      </c>
      <c r="N17" s="72" t="s">
        <v>119</v>
      </c>
      <c r="O17" s="72" t="s">
        <v>119</v>
      </c>
      <c r="P17" s="75"/>
      <c r="Q17" s="75"/>
      <c r="R17" s="72" t="s">
        <v>93</v>
      </c>
      <c r="S17" s="72" t="s">
        <v>105</v>
      </c>
      <c r="T17" s="72" t="s">
        <v>94</v>
      </c>
      <c r="W17" s="75">
        <v>4</v>
      </c>
      <c r="X17" s="75">
        <v>-4.5999999999999996</v>
      </c>
      <c r="Y17" s="72" t="s">
        <v>97</v>
      </c>
      <c r="Z17" s="72">
        <v>12</v>
      </c>
      <c r="AB17" s="75"/>
    </row>
    <row r="18" spans="1:30" ht="15">
      <c r="A18" s="74" t="s">
        <v>124</v>
      </c>
      <c r="B18" s="75">
        <v>-3</v>
      </c>
      <c r="C18" s="75">
        <v>990.7</v>
      </c>
      <c r="D18" s="75">
        <v>1018.1</v>
      </c>
      <c r="E18" s="75">
        <v>-2.1</v>
      </c>
      <c r="F18" s="72">
        <v>92</v>
      </c>
      <c r="G18" t="b">
        <f t="shared" si="0"/>
        <v>0</v>
      </c>
      <c r="H18" s="72" t="s">
        <v>90</v>
      </c>
      <c r="I18" s="72">
        <v>2</v>
      </c>
      <c r="L18" s="72" t="s">
        <v>105</v>
      </c>
      <c r="M18" s="72" t="s">
        <v>117</v>
      </c>
      <c r="N18" s="72" t="s">
        <v>119</v>
      </c>
      <c r="O18" s="72" t="s">
        <v>119</v>
      </c>
      <c r="P18" s="75"/>
      <c r="Q18" s="75"/>
      <c r="R18" s="72" t="s">
        <v>125</v>
      </c>
      <c r="S18" s="72" t="s">
        <v>105</v>
      </c>
      <c r="T18" s="72" t="s">
        <v>115</v>
      </c>
      <c r="W18" s="75">
        <v>4</v>
      </c>
      <c r="X18" s="75">
        <v>-4.0999999999999996</v>
      </c>
      <c r="AB18" s="75"/>
    </row>
    <row r="19" spans="1:30" ht="15">
      <c r="A19" s="74" t="s">
        <v>126</v>
      </c>
      <c r="B19" s="75">
        <v>-2.8</v>
      </c>
      <c r="C19" s="75">
        <v>992.9</v>
      </c>
      <c r="D19" s="75">
        <v>1020.3</v>
      </c>
      <c r="E19" s="75">
        <v>-1.6</v>
      </c>
      <c r="F19" s="72">
        <v>94</v>
      </c>
      <c r="G19" t="b">
        <f t="shared" si="0"/>
        <v>0</v>
      </c>
      <c r="H19" s="72" t="s">
        <v>90</v>
      </c>
      <c r="I19" s="72">
        <v>2</v>
      </c>
      <c r="L19" s="72" t="s">
        <v>105</v>
      </c>
      <c r="M19" s="72" t="s">
        <v>117</v>
      </c>
      <c r="N19" s="72" t="s">
        <v>119</v>
      </c>
      <c r="O19" s="72" t="s">
        <v>119</v>
      </c>
      <c r="P19" s="75"/>
      <c r="Q19" s="75"/>
      <c r="R19" s="72" t="s">
        <v>125</v>
      </c>
      <c r="S19" s="72" t="s">
        <v>105</v>
      </c>
      <c r="T19" s="72" t="s">
        <v>115</v>
      </c>
      <c r="W19" s="75">
        <v>2</v>
      </c>
      <c r="X19" s="75">
        <v>-3.6</v>
      </c>
      <c r="AB19" s="75"/>
    </row>
    <row r="20" spans="1:30" ht="15">
      <c r="A20" s="74" t="s">
        <v>127</v>
      </c>
      <c r="B20" s="75">
        <v>-2</v>
      </c>
      <c r="C20" s="75">
        <v>994.5</v>
      </c>
      <c r="D20" s="75">
        <v>1021.9</v>
      </c>
      <c r="E20" s="75">
        <v>-1.2</v>
      </c>
      <c r="F20" s="72">
        <v>91</v>
      </c>
      <c r="G20" t="b">
        <f t="shared" si="0"/>
        <v>0</v>
      </c>
      <c r="H20" s="72" t="s">
        <v>90</v>
      </c>
      <c r="I20" s="72">
        <v>1</v>
      </c>
      <c r="L20" s="72" t="s">
        <v>105</v>
      </c>
      <c r="M20" s="72" t="s">
        <v>117</v>
      </c>
      <c r="N20" s="72" t="s">
        <v>119</v>
      </c>
      <c r="O20" s="72" t="s">
        <v>119</v>
      </c>
      <c r="P20" s="75">
        <v>-2</v>
      </c>
      <c r="Q20" s="75"/>
      <c r="R20" s="72" t="s">
        <v>125</v>
      </c>
      <c r="S20" s="72" t="s">
        <v>105</v>
      </c>
      <c r="T20" s="72" t="s">
        <v>115</v>
      </c>
      <c r="W20" s="75">
        <v>4</v>
      </c>
      <c r="X20" s="75">
        <v>-3.3</v>
      </c>
      <c r="Y20" s="72">
        <v>0.3</v>
      </c>
      <c r="Z20" s="72">
        <v>12</v>
      </c>
      <c r="AB20" s="75"/>
      <c r="AC20" s="72" t="s">
        <v>111</v>
      </c>
      <c r="AD20" s="72">
        <v>19</v>
      </c>
    </row>
    <row r="21" spans="1:30" ht="15">
      <c r="A21" s="74" t="s">
        <v>128</v>
      </c>
      <c r="B21" s="75">
        <v>-1.7</v>
      </c>
      <c r="C21" s="75">
        <v>995.7</v>
      </c>
      <c r="D21" s="75">
        <v>1023</v>
      </c>
      <c r="E21" s="75">
        <v>-2</v>
      </c>
      <c r="F21" s="72">
        <v>94</v>
      </c>
      <c r="G21" t="b">
        <f t="shared" si="0"/>
        <v>1</v>
      </c>
      <c r="H21" s="72" t="s">
        <v>113</v>
      </c>
      <c r="I21" s="72">
        <v>1</v>
      </c>
      <c r="L21" s="72" t="s">
        <v>105</v>
      </c>
      <c r="M21" s="72" t="s">
        <v>117</v>
      </c>
      <c r="N21" s="72" t="s">
        <v>129</v>
      </c>
      <c r="O21" s="72" t="s">
        <v>119</v>
      </c>
      <c r="P21" s="75">
        <v>-1.7</v>
      </c>
      <c r="Q21" s="75"/>
      <c r="R21" s="72" t="s">
        <v>125</v>
      </c>
      <c r="S21" s="72" t="s">
        <v>105</v>
      </c>
      <c r="T21" s="72" t="s">
        <v>115</v>
      </c>
      <c r="W21" s="75">
        <v>4</v>
      </c>
      <c r="X21" s="75">
        <v>-2.5</v>
      </c>
      <c r="Y21" s="72">
        <v>1</v>
      </c>
      <c r="Z21" s="72">
        <v>12</v>
      </c>
      <c r="AB21" s="75"/>
    </row>
    <row r="22" spans="1:30" ht="15">
      <c r="A22" s="74" t="s">
        <v>130</v>
      </c>
      <c r="B22" s="75">
        <v>-1.3</v>
      </c>
      <c r="C22" s="75">
        <v>997.7</v>
      </c>
      <c r="D22" s="75">
        <v>1025.0999999999999</v>
      </c>
      <c r="E22" s="75">
        <v>-1.3</v>
      </c>
      <c r="F22" s="72">
        <v>93</v>
      </c>
      <c r="G22" t="b">
        <f t="shared" si="0"/>
        <v>1</v>
      </c>
      <c r="H22" s="72" t="s">
        <v>131</v>
      </c>
      <c r="I22" s="72">
        <v>1</v>
      </c>
      <c r="L22" s="72" t="s">
        <v>105</v>
      </c>
      <c r="M22" s="72" t="s">
        <v>132</v>
      </c>
      <c r="N22" s="72" t="s">
        <v>129</v>
      </c>
      <c r="O22" s="72" t="s">
        <v>119</v>
      </c>
      <c r="P22" s="75"/>
      <c r="Q22" s="75"/>
      <c r="R22" s="72" t="s">
        <v>133</v>
      </c>
      <c r="S22" s="72" t="s">
        <v>105</v>
      </c>
      <c r="T22" s="72" t="s">
        <v>115</v>
      </c>
      <c r="U22" s="72" t="s">
        <v>134</v>
      </c>
      <c r="W22" s="75">
        <v>4</v>
      </c>
      <c r="X22" s="75">
        <v>-2.2999999999999998</v>
      </c>
      <c r="AB22" s="75"/>
    </row>
    <row r="23" spans="1:30" ht="15">
      <c r="A23" s="74" t="s">
        <v>135</v>
      </c>
      <c r="B23" s="75">
        <v>-1.1000000000000001</v>
      </c>
      <c r="C23" s="75">
        <v>999</v>
      </c>
      <c r="D23" s="75">
        <v>1026.5</v>
      </c>
      <c r="E23" s="75">
        <v>-0.9</v>
      </c>
      <c r="F23" s="72">
        <v>93</v>
      </c>
      <c r="G23" t="b">
        <f t="shared" si="0"/>
        <v>1</v>
      </c>
      <c r="H23" s="72" t="s">
        <v>131</v>
      </c>
      <c r="I23" s="72">
        <v>2</v>
      </c>
      <c r="L23" s="72" t="s">
        <v>105</v>
      </c>
      <c r="M23" s="72" t="s">
        <v>132</v>
      </c>
      <c r="N23" s="72" t="s">
        <v>129</v>
      </c>
      <c r="O23" s="72" t="s">
        <v>119</v>
      </c>
      <c r="P23" s="75"/>
      <c r="Q23" s="75"/>
      <c r="R23" s="72" t="s">
        <v>133</v>
      </c>
      <c r="S23" s="72" t="s">
        <v>105</v>
      </c>
      <c r="T23" s="72" t="s">
        <v>115</v>
      </c>
      <c r="U23" s="72" t="s">
        <v>134</v>
      </c>
      <c r="W23" s="75">
        <v>4</v>
      </c>
      <c r="X23" s="75">
        <v>-2.1</v>
      </c>
      <c r="AB23" s="75"/>
    </row>
    <row r="24" spans="1:30" ht="15">
      <c r="A24" s="74" t="s">
        <v>136</v>
      </c>
      <c r="B24" s="75">
        <v>-0.8</v>
      </c>
      <c r="C24" s="75">
        <v>999.9</v>
      </c>
      <c r="D24" s="75">
        <v>1027.3</v>
      </c>
      <c r="E24" s="75">
        <v>-0.5</v>
      </c>
      <c r="F24" s="72">
        <v>96</v>
      </c>
      <c r="G24" t="b">
        <f t="shared" si="0"/>
        <v>1</v>
      </c>
      <c r="H24" s="72" t="s">
        <v>131</v>
      </c>
      <c r="I24" s="72">
        <v>2</v>
      </c>
      <c r="L24" s="72" t="s">
        <v>105</v>
      </c>
      <c r="M24" s="72" t="s">
        <v>132</v>
      </c>
      <c r="N24" s="72" t="s">
        <v>137</v>
      </c>
      <c r="O24" s="72" t="s">
        <v>119</v>
      </c>
      <c r="P24" s="75"/>
      <c r="Q24" s="75">
        <v>-0.2</v>
      </c>
      <c r="R24" s="72" t="s">
        <v>133</v>
      </c>
      <c r="S24" s="72" t="s">
        <v>105</v>
      </c>
      <c r="T24" s="72" t="s">
        <v>115</v>
      </c>
      <c r="U24" s="72" t="s">
        <v>134</v>
      </c>
      <c r="W24" s="75">
        <v>4</v>
      </c>
      <c r="X24" s="75">
        <v>-1.3</v>
      </c>
      <c r="Y24" s="72">
        <v>0.7</v>
      </c>
      <c r="Z24" s="72">
        <v>12</v>
      </c>
      <c r="AB24" s="75"/>
    </row>
    <row r="25" spans="1:30" ht="15">
      <c r="A25" s="74" t="s">
        <v>138</v>
      </c>
      <c r="B25" s="75">
        <v>-0.4</v>
      </c>
      <c r="C25" s="75">
        <v>1000.5</v>
      </c>
      <c r="D25" s="75">
        <v>1027.7</v>
      </c>
      <c r="E25" s="75">
        <v>0</v>
      </c>
      <c r="F25" s="72">
        <v>92</v>
      </c>
      <c r="G25" t="b">
        <f t="shared" si="0"/>
        <v>1</v>
      </c>
      <c r="H25" s="72" t="s">
        <v>131</v>
      </c>
      <c r="I25" s="72">
        <v>2</v>
      </c>
      <c r="L25" s="72" t="s">
        <v>105</v>
      </c>
      <c r="M25" s="72" t="s">
        <v>117</v>
      </c>
      <c r="N25" s="72" t="s">
        <v>119</v>
      </c>
      <c r="O25" s="72" t="s">
        <v>119</v>
      </c>
      <c r="P25" s="75"/>
      <c r="Q25" s="75"/>
      <c r="R25" s="72" t="s">
        <v>125</v>
      </c>
      <c r="S25" s="72" t="s">
        <v>105</v>
      </c>
      <c r="T25" s="72" t="s">
        <v>115</v>
      </c>
      <c r="W25" s="75">
        <v>4</v>
      </c>
      <c r="X25" s="75">
        <v>-1.5</v>
      </c>
      <c r="Y25" s="72">
        <v>0.3</v>
      </c>
      <c r="Z25" s="72">
        <v>12</v>
      </c>
      <c r="AB25" s="75"/>
    </row>
    <row r="26" spans="1:30" ht="15">
      <c r="A26" s="74" t="s">
        <v>139</v>
      </c>
      <c r="B26" s="75">
        <v>-0.2</v>
      </c>
      <c r="C26" s="75">
        <v>1000.5</v>
      </c>
      <c r="D26" s="75">
        <v>1027.7</v>
      </c>
      <c r="E26" s="75">
        <v>-0.8</v>
      </c>
      <c r="F26" s="72">
        <v>92</v>
      </c>
      <c r="G26" t="b">
        <f t="shared" si="0"/>
        <v>0</v>
      </c>
      <c r="H26" s="72" t="s">
        <v>131</v>
      </c>
      <c r="I26" s="72">
        <v>3</v>
      </c>
      <c r="L26" s="72" t="s">
        <v>105</v>
      </c>
      <c r="M26" s="72" t="s">
        <v>117</v>
      </c>
      <c r="N26" s="72" t="s">
        <v>129</v>
      </c>
      <c r="O26" s="72" t="s">
        <v>119</v>
      </c>
      <c r="P26" s="75"/>
      <c r="Q26" s="75"/>
      <c r="R26" s="72" t="s">
        <v>125</v>
      </c>
      <c r="S26" s="72" t="s">
        <v>105</v>
      </c>
      <c r="T26" s="72" t="s">
        <v>115</v>
      </c>
      <c r="W26" s="75">
        <v>4</v>
      </c>
      <c r="X26" s="75">
        <v>-1.4</v>
      </c>
      <c r="AB26" s="75"/>
    </row>
    <row r="27" spans="1:30" ht="15">
      <c r="A27" s="74" t="s">
        <v>140</v>
      </c>
      <c r="B27" s="75">
        <v>-0.3</v>
      </c>
      <c r="C27" s="75">
        <v>1001.3</v>
      </c>
      <c r="D27" s="75">
        <v>1028.7</v>
      </c>
      <c r="E27" s="75">
        <v>-0.5</v>
      </c>
      <c r="F27" s="72">
        <v>92</v>
      </c>
      <c r="G27" t="b">
        <f t="shared" si="0"/>
        <v>0</v>
      </c>
      <c r="H27" s="72" t="s">
        <v>141</v>
      </c>
      <c r="I27" s="72">
        <v>3</v>
      </c>
      <c r="L27" s="72" t="s">
        <v>105</v>
      </c>
      <c r="M27" s="72" t="s">
        <v>117</v>
      </c>
      <c r="N27" s="72" t="s">
        <v>129</v>
      </c>
      <c r="O27" s="72" t="s">
        <v>119</v>
      </c>
      <c r="P27" s="75"/>
      <c r="Q27" s="75"/>
      <c r="R27" s="72" t="s">
        <v>125</v>
      </c>
      <c r="S27" s="72" t="s">
        <v>105</v>
      </c>
      <c r="T27" s="72" t="s">
        <v>115</v>
      </c>
      <c r="W27" s="75">
        <v>4</v>
      </c>
      <c r="X27" s="75">
        <v>-1.5</v>
      </c>
      <c r="AB27" s="75"/>
    </row>
    <row r="28" spans="1:30" ht="15">
      <c r="A28" s="74" t="s">
        <v>142</v>
      </c>
      <c r="B28" s="75">
        <v>-0.5</v>
      </c>
      <c r="C28" s="75">
        <v>1001.8</v>
      </c>
      <c r="D28" s="75">
        <v>1029.3</v>
      </c>
      <c r="E28" s="75">
        <v>0.3</v>
      </c>
      <c r="F28" s="72">
        <v>99</v>
      </c>
      <c r="G28" t="b">
        <f t="shared" si="0"/>
        <v>0</v>
      </c>
      <c r="H28" s="72" t="s">
        <v>143</v>
      </c>
      <c r="I28" s="72">
        <v>3</v>
      </c>
      <c r="L28" s="72" t="s">
        <v>105</v>
      </c>
      <c r="M28" s="72" t="s">
        <v>132</v>
      </c>
      <c r="N28" s="72" t="s">
        <v>137</v>
      </c>
      <c r="O28" s="72" t="s">
        <v>144</v>
      </c>
      <c r="P28" s="75">
        <v>-0.5</v>
      </c>
      <c r="Q28" s="75"/>
      <c r="R28" s="72" t="s">
        <v>133</v>
      </c>
      <c r="S28" s="72" t="s">
        <v>105</v>
      </c>
      <c r="T28" s="72" t="s">
        <v>145</v>
      </c>
      <c r="U28" s="72" t="s">
        <v>134</v>
      </c>
      <c r="W28" s="75">
        <v>4</v>
      </c>
      <c r="X28" s="75">
        <v>-0.7</v>
      </c>
      <c r="Y28" s="72">
        <v>0.3</v>
      </c>
      <c r="Z28" s="72">
        <v>12</v>
      </c>
      <c r="AB28" s="75"/>
      <c r="AC28" s="72" t="s">
        <v>111</v>
      </c>
      <c r="AD28" s="72">
        <v>19</v>
      </c>
    </row>
    <row r="29" spans="1:30" ht="15">
      <c r="A29" s="74" t="s">
        <v>146</v>
      </c>
      <c r="B29" s="75">
        <v>-0.2</v>
      </c>
      <c r="C29" s="75">
        <v>1001.5</v>
      </c>
      <c r="D29" s="75">
        <v>1028.9000000000001</v>
      </c>
      <c r="E29" s="75">
        <v>-1.1000000000000001</v>
      </c>
      <c r="F29" s="72">
        <v>98</v>
      </c>
      <c r="G29" t="b">
        <f t="shared" si="0"/>
        <v>1</v>
      </c>
      <c r="H29" s="72" t="s">
        <v>131</v>
      </c>
      <c r="I29" s="72">
        <v>3</v>
      </c>
      <c r="L29" s="72" t="s">
        <v>147</v>
      </c>
      <c r="M29" s="72" t="s">
        <v>148</v>
      </c>
      <c r="N29" s="72" t="s">
        <v>137</v>
      </c>
      <c r="O29" s="72" t="s">
        <v>119</v>
      </c>
      <c r="P29" s="75">
        <v>-0.3</v>
      </c>
      <c r="Q29" s="75"/>
      <c r="W29" s="75">
        <v>0.5</v>
      </c>
      <c r="X29" s="75">
        <v>-0.5</v>
      </c>
      <c r="Y29" s="72" t="s">
        <v>149</v>
      </c>
      <c r="Z29" s="72">
        <v>12</v>
      </c>
      <c r="AB29" s="75"/>
    </row>
    <row r="30" spans="1:30" ht="15">
      <c r="A30" s="74" t="s">
        <v>150</v>
      </c>
      <c r="B30" s="75">
        <v>-0.2</v>
      </c>
      <c r="C30" s="75">
        <v>1002.6</v>
      </c>
      <c r="D30" s="75">
        <v>1030.0999999999999</v>
      </c>
      <c r="E30" s="75">
        <v>0</v>
      </c>
      <c r="F30" s="72">
        <v>98</v>
      </c>
      <c r="G30" t="b">
        <f t="shared" si="0"/>
        <v>1</v>
      </c>
      <c r="H30" s="72" t="s">
        <v>141</v>
      </c>
      <c r="I30" s="72">
        <v>2</v>
      </c>
      <c r="L30" s="72" t="s">
        <v>105</v>
      </c>
      <c r="M30" s="72" t="s">
        <v>148</v>
      </c>
      <c r="N30" s="72" t="s">
        <v>137</v>
      </c>
      <c r="O30" s="72" t="s">
        <v>119</v>
      </c>
      <c r="P30" s="75"/>
      <c r="Q30" s="75"/>
      <c r="R30" s="72" t="s">
        <v>125</v>
      </c>
      <c r="S30" s="72" t="s">
        <v>105</v>
      </c>
      <c r="T30" s="72" t="s">
        <v>151</v>
      </c>
      <c r="W30" s="75">
        <v>1</v>
      </c>
      <c r="X30" s="75">
        <v>-0.5</v>
      </c>
      <c r="AB30" s="75"/>
    </row>
    <row r="31" spans="1:30" ht="15">
      <c r="A31" s="74" t="s">
        <v>152</v>
      </c>
      <c r="B31" s="75">
        <v>-0.3</v>
      </c>
      <c r="C31" s="75">
        <v>1002.6</v>
      </c>
      <c r="D31" s="75">
        <v>1030.0999999999999</v>
      </c>
      <c r="E31" s="75">
        <v>-0.5</v>
      </c>
      <c r="F31" s="72">
        <v>98</v>
      </c>
      <c r="G31" t="b">
        <f t="shared" si="0"/>
        <v>1</v>
      </c>
      <c r="H31" s="72" t="s">
        <v>141</v>
      </c>
      <c r="I31" s="72">
        <v>2</v>
      </c>
      <c r="L31" s="72" t="s">
        <v>105</v>
      </c>
      <c r="M31" s="72" t="s">
        <v>148</v>
      </c>
      <c r="N31" s="72" t="s">
        <v>137</v>
      </c>
      <c r="O31" s="72" t="s">
        <v>119</v>
      </c>
      <c r="P31" s="75"/>
      <c r="Q31" s="75"/>
      <c r="R31" s="72" t="s">
        <v>125</v>
      </c>
      <c r="S31" s="72" t="s">
        <v>105</v>
      </c>
      <c r="T31" s="72" t="s">
        <v>115</v>
      </c>
      <c r="W31" s="75">
        <v>2</v>
      </c>
      <c r="X31" s="75">
        <v>-0.6</v>
      </c>
      <c r="AB31" s="75"/>
    </row>
    <row r="32" spans="1:30" ht="15">
      <c r="A32" s="74" t="s">
        <v>153</v>
      </c>
      <c r="B32" s="75">
        <v>-0.3</v>
      </c>
      <c r="C32" s="75">
        <v>1003.1</v>
      </c>
      <c r="D32" s="75">
        <v>1030.5</v>
      </c>
      <c r="E32" s="75">
        <v>0.3</v>
      </c>
      <c r="F32" s="72">
        <v>98</v>
      </c>
      <c r="G32" t="b">
        <f t="shared" si="0"/>
        <v>1</v>
      </c>
      <c r="H32" s="72" t="s">
        <v>141</v>
      </c>
      <c r="I32" s="72">
        <v>2</v>
      </c>
      <c r="L32" s="72" t="s">
        <v>105</v>
      </c>
      <c r="M32" s="72" t="s">
        <v>148</v>
      </c>
      <c r="N32" s="72" t="s">
        <v>129</v>
      </c>
      <c r="O32" s="72" t="s">
        <v>137</v>
      </c>
      <c r="P32" s="75"/>
      <c r="Q32" s="75">
        <v>-0.1</v>
      </c>
      <c r="R32" s="72" t="s">
        <v>125</v>
      </c>
      <c r="S32" s="72" t="s">
        <v>105</v>
      </c>
      <c r="T32" s="72" t="s">
        <v>145</v>
      </c>
      <c r="W32" s="75">
        <v>2</v>
      </c>
      <c r="X32" s="75">
        <v>-0.6</v>
      </c>
      <c r="Y32" s="72" t="s">
        <v>149</v>
      </c>
      <c r="Z32" s="72">
        <v>12</v>
      </c>
      <c r="AB32" s="75"/>
    </row>
    <row r="33" spans="1:30" ht="15">
      <c r="A33" s="74" t="s">
        <v>154</v>
      </c>
      <c r="B33" s="75">
        <v>-0.3</v>
      </c>
      <c r="C33" s="75">
        <v>1002.9</v>
      </c>
      <c r="D33" s="75">
        <v>1030.3</v>
      </c>
      <c r="E33" s="75">
        <v>0.1</v>
      </c>
      <c r="F33" s="72">
        <v>97</v>
      </c>
      <c r="G33" t="b">
        <f t="shared" si="0"/>
        <v>1</v>
      </c>
      <c r="H33" s="72" t="s">
        <v>141</v>
      </c>
      <c r="I33" s="72">
        <v>2</v>
      </c>
      <c r="L33" s="72" t="s">
        <v>105</v>
      </c>
      <c r="M33" s="72" t="s">
        <v>155</v>
      </c>
      <c r="N33" s="72" t="s">
        <v>129</v>
      </c>
      <c r="O33" s="72" t="s">
        <v>119</v>
      </c>
      <c r="P33" s="75"/>
      <c r="Q33" s="75"/>
      <c r="R33" s="72" t="s">
        <v>125</v>
      </c>
      <c r="S33" s="72" t="s">
        <v>105</v>
      </c>
      <c r="T33" s="72" t="s">
        <v>145</v>
      </c>
      <c r="W33" s="75">
        <v>2</v>
      </c>
      <c r="X33" s="75">
        <v>-0.7</v>
      </c>
      <c r="Y33" s="72" t="s">
        <v>149</v>
      </c>
      <c r="Z33" s="72">
        <v>12</v>
      </c>
      <c r="AB33" s="75"/>
    </row>
    <row r="34" spans="1:30" ht="15">
      <c r="A34" s="74" t="s">
        <v>156</v>
      </c>
      <c r="B34" s="75">
        <v>-0.2</v>
      </c>
      <c r="C34" s="75">
        <v>1002.7</v>
      </c>
      <c r="D34" s="75">
        <v>1030.0999999999999</v>
      </c>
      <c r="E34" s="75">
        <v>0</v>
      </c>
      <c r="F34" s="72">
        <v>94</v>
      </c>
      <c r="G34" t="b">
        <f t="shared" si="0"/>
        <v>0</v>
      </c>
      <c r="H34" s="72" t="s">
        <v>157</v>
      </c>
      <c r="I34" s="72">
        <v>1</v>
      </c>
      <c r="L34" s="72" t="s">
        <v>105</v>
      </c>
      <c r="M34" s="72" t="s">
        <v>117</v>
      </c>
      <c r="N34" s="72" t="s">
        <v>129</v>
      </c>
      <c r="O34" s="72" t="s">
        <v>119</v>
      </c>
      <c r="P34" s="75"/>
      <c r="Q34" s="75"/>
      <c r="R34" s="72" t="s">
        <v>125</v>
      </c>
      <c r="S34" s="72" t="s">
        <v>105</v>
      </c>
      <c r="T34" s="72" t="s">
        <v>115</v>
      </c>
      <c r="W34" s="75">
        <v>4</v>
      </c>
      <c r="X34" s="75">
        <v>-1.1000000000000001</v>
      </c>
      <c r="AB34" s="75"/>
    </row>
    <row r="35" spans="1:30" ht="15">
      <c r="A35" s="74" t="s">
        <v>158</v>
      </c>
      <c r="B35" s="75">
        <v>-0.1</v>
      </c>
      <c r="C35" s="75">
        <v>1002.7</v>
      </c>
      <c r="D35" s="75">
        <v>1030.0999999999999</v>
      </c>
      <c r="E35" s="75">
        <v>0.3</v>
      </c>
      <c r="F35" s="72">
        <v>87</v>
      </c>
      <c r="G35" t="b">
        <f t="shared" si="0"/>
        <v>0</v>
      </c>
      <c r="H35" s="72" t="s">
        <v>157</v>
      </c>
      <c r="I35" s="72">
        <v>1</v>
      </c>
      <c r="L35" s="72" t="s">
        <v>105</v>
      </c>
      <c r="M35" s="72" t="s">
        <v>117</v>
      </c>
      <c r="N35" s="72" t="s">
        <v>129</v>
      </c>
      <c r="O35" s="72" t="s">
        <v>119</v>
      </c>
      <c r="P35" s="75"/>
      <c r="Q35" s="75"/>
      <c r="R35" s="72" t="s">
        <v>93</v>
      </c>
      <c r="S35" s="72" t="s">
        <v>105</v>
      </c>
      <c r="T35" s="72" t="s">
        <v>94</v>
      </c>
      <c r="W35" s="75">
        <v>4</v>
      </c>
      <c r="X35" s="75">
        <v>-2</v>
      </c>
      <c r="AB35" s="75"/>
    </row>
    <row r="36" spans="1:30" ht="15">
      <c r="A36" s="74" t="s">
        <v>159</v>
      </c>
      <c r="B36" s="75">
        <v>-0.7</v>
      </c>
      <c r="C36" s="75">
        <v>1002.5</v>
      </c>
      <c r="D36" s="75">
        <v>1029.9000000000001</v>
      </c>
      <c r="E36" s="75">
        <v>0.9</v>
      </c>
      <c r="F36" s="72">
        <v>90</v>
      </c>
      <c r="G36" t="b">
        <f t="shared" si="0"/>
        <v>0</v>
      </c>
      <c r="H36" s="72" t="s">
        <v>160</v>
      </c>
      <c r="I36" s="72">
        <v>1</v>
      </c>
      <c r="L36" s="72" t="s">
        <v>105</v>
      </c>
      <c r="M36" s="72" t="s">
        <v>117</v>
      </c>
      <c r="N36" s="72" t="s">
        <v>119</v>
      </c>
      <c r="O36" s="72" t="s">
        <v>119</v>
      </c>
      <c r="P36" s="75">
        <v>-2.4</v>
      </c>
      <c r="Q36" s="75"/>
      <c r="R36" s="72" t="s">
        <v>93</v>
      </c>
      <c r="S36" s="72" t="s">
        <v>105</v>
      </c>
      <c r="T36" s="72" t="s">
        <v>94</v>
      </c>
      <c r="W36" s="75">
        <v>4</v>
      </c>
      <c r="X36" s="75">
        <v>-2.1</v>
      </c>
      <c r="Y36" s="72" t="s">
        <v>97</v>
      </c>
      <c r="Z36" s="72">
        <v>12</v>
      </c>
      <c r="AB36" s="75"/>
      <c r="AC36" s="72" t="s">
        <v>161</v>
      </c>
      <c r="AD36" s="72">
        <v>20</v>
      </c>
    </row>
    <row r="37" spans="1:30" ht="15">
      <c r="A37" s="74" t="s">
        <v>162</v>
      </c>
      <c r="B37" s="75">
        <v>-0.9</v>
      </c>
      <c r="C37" s="75">
        <v>1001.5</v>
      </c>
      <c r="D37" s="75">
        <v>1028.9000000000001</v>
      </c>
      <c r="E37" s="75">
        <v>-0.1</v>
      </c>
      <c r="F37" s="72">
        <v>91</v>
      </c>
      <c r="G37" t="b">
        <f t="shared" si="0"/>
        <v>1</v>
      </c>
      <c r="H37" s="72" t="s">
        <v>163</v>
      </c>
      <c r="I37" s="72">
        <v>2</v>
      </c>
      <c r="L37" s="72" t="s">
        <v>105</v>
      </c>
      <c r="M37" s="72" t="s">
        <v>117</v>
      </c>
      <c r="N37" s="72" t="s">
        <v>119</v>
      </c>
      <c r="O37" s="72" t="s">
        <v>119</v>
      </c>
      <c r="P37" s="75">
        <v>-3</v>
      </c>
      <c r="Q37" s="75"/>
      <c r="R37" s="72" t="s">
        <v>93</v>
      </c>
      <c r="S37" s="72" t="s">
        <v>105</v>
      </c>
      <c r="T37" s="72" t="s">
        <v>94</v>
      </c>
      <c r="W37" s="75">
        <v>4</v>
      </c>
      <c r="X37" s="75">
        <v>-2.2000000000000002</v>
      </c>
      <c r="Y37" s="72" t="s">
        <v>97</v>
      </c>
      <c r="Z37" s="72">
        <v>12</v>
      </c>
      <c r="AB37" s="75"/>
    </row>
    <row r="38" spans="1:30" ht="15">
      <c r="A38" s="74" t="s">
        <v>164</v>
      </c>
      <c r="B38" s="75">
        <v>-1.1000000000000001</v>
      </c>
      <c r="C38" s="75">
        <v>1001.7</v>
      </c>
      <c r="D38" s="75">
        <v>1029</v>
      </c>
      <c r="E38" s="75">
        <v>0.4</v>
      </c>
      <c r="F38" s="72">
        <v>92</v>
      </c>
      <c r="G38" t="b">
        <f t="shared" si="0"/>
        <v>1</v>
      </c>
      <c r="H38" s="72" t="s">
        <v>160</v>
      </c>
      <c r="I38" s="72">
        <v>2</v>
      </c>
      <c r="L38" s="72" t="s">
        <v>105</v>
      </c>
      <c r="M38" s="72" t="s">
        <v>92</v>
      </c>
      <c r="P38" s="75"/>
      <c r="Q38" s="75"/>
      <c r="R38" s="72" t="s">
        <v>93</v>
      </c>
      <c r="S38" s="72" t="s">
        <v>105</v>
      </c>
      <c r="T38" s="72" t="s">
        <v>94</v>
      </c>
      <c r="W38" s="75">
        <v>4</v>
      </c>
      <c r="X38" s="75">
        <v>-2.2000000000000002</v>
      </c>
      <c r="AB38" s="75"/>
    </row>
    <row r="39" spans="1:30" ht="15">
      <c r="A39" s="74" t="s">
        <v>165</v>
      </c>
      <c r="B39" s="75">
        <v>-1.8</v>
      </c>
      <c r="C39" s="75">
        <v>1001.3</v>
      </c>
      <c r="D39" s="75">
        <v>1028.9000000000001</v>
      </c>
      <c r="E39" s="75">
        <v>0.4</v>
      </c>
      <c r="F39" s="72">
        <v>92</v>
      </c>
      <c r="G39" t="b">
        <f t="shared" si="0"/>
        <v>1</v>
      </c>
      <c r="H39" s="72" t="s">
        <v>160</v>
      </c>
      <c r="I39" s="72">
        <v>1</v>
      </c>
      <c r="L39" s="72" t="s">
        <v>105</v>
      </c>
      <c r="M39" s="72" t="s">
        <v>117</v>
      </c>
      <c r="N39" s="72" t="s">
        <v>119</v>
      </c>
      <c r="O39" s="72" t="s">
        <v>119</v>
      </c>
      <c r="P39" s="75"/>
      <c r="Q39" s="75"/>
      <c r="R39" s="72" t="s">
        <v>93</v>
      </c>
      <c r="S39" s="72" t="s">
        <v>105</v>
      </c>
      <c r="T39" s="72" t="s">
        <v>94</v>
      </c>
      <c r="W39" s="75">
        <v>4</v>
      </c>
      <c r="X39" s="75">
        <v>-2.9</v>
      </c>
      <c r="AB39" s="75"/>
    </row>
  </sheetData>
  <mergeCells count="5">
    <mergeCell ref="A1:L1"/>
    <mergeCell ref="A2:C2"/>
    <mergeCell ref="A3:I3"/>
    <mergeCell ref="A4:I4"/>
    <mergeCell ref="A5:L5"/>
  </mergeCells>
  <conditionalFormatting sqref="G1:G1048576">
    <cfRule type="containsText" dxfId="1" priority="1" operator="containsText" text="ИСТИНА">
      <formula>NOT(ISERROR(SEARCH("ИСТИНА",G1)))</formula>
    </cfRule>
  </conditionalFormatting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F8BE-81F4-496F-A875-C205C31F2933}">
  <dimension ref="A1:AA83"/>
  <sheetViews>
    <sheetView tabSelected="1" zoomScale="85" zoomScaleNormal="85" workbookViewId="0">
      <selection sqref="A1:A2"/>
    </sheetView>
  </sheetViews>
  <sheetFormatPr defaultColWidth="9.28515625" defaultRowHeight="12.75"/>
  <cols>
    <col min="1" max="1" width="17.5703125" style="73" customWidth="1"/>
    <col min="2" max="2" width="3.140625" style="73" bestFit="1" customWidth="1"/>
    <col min="3" max="3" width="15.42578125" style="84" bestFit="1" customWidth="1"/>
    <col min="4" max="4" width="3.7109375" style="73" bestFit="1" customWidth="1"/>
    <col min="5" max="5" width="4.140625" style="73" bestFit="1" customWidth="1"/>
    <col min="6" max="6" width="6.7109375" style="73" bestFit="1" customWidth="1"/>
    <col min="7" max="7" width="10.28515625" style="76" bestFit="1" customWidth="1"/>
    <col min="8" max="8" width="8.140625" style="77" bestFit="1" customWidth="1"/>
    <col min="9" max="9" width="1.42578125" style="77" customWidth="1"/>
    <col min="10" max="10" width="13.140625" style="73" bestFit="1" customWidth="1"/>
    <col min="11" max="11" width="10.28515625" style="76" bestFit="1" customWidth="1"/>
    <col min="12" max="12" width="20.28515625" style="73" bestFit="1" customWidth="1"/>
    <col min="13" max="13" width="27.140625" style="73" bestFit="1" customWidth="1"/>
    <col min="14" max="14" width="19.42578125" style="73" bestFit="1" customWidth="1"/>
    <col min="15" max="15" width="20.28515625" style="73" bestFit="1" customWidth="1"/>
    <col min="16" max="16" width="1.85546875" style="73" customWidth="1"/>
    <col min="17" max="17" width="15.140625" style="76" bestFit="1" customWidth="1"/>
    <col min="18" max="18" width="14.140625" style="76" bestFit="1" customWidth="1"/>
    <col min="19" max="19" width="27.42578125" style="73" bestFit="1" customWidth="1"/>
    <col min="20" max="20" width="19.42578125" style="73" bestFit="1" customWidth="1"/>
    <col min="21" max="21" width="20.28515625" style="73" bestFit="1" customWidth="1"/>
    <col min="22" max="22" width="9.28515625" style="73"/>
    <col min="23" max="23" width="15.140625" style="73" bestFit="1" customWidth="1"/>
    <col min="24" max="24" width="14.140625" style="73" bestFit="1" customWidth="1"/>
    <col min="25" max="25" width="15.5703125" style="73" bestFit="1" customWidth="1"/>
    <col min="26" max="26" width="18.5703125" style="73" bestFit="1" customWidth="1"/>
    <col min="27" max="27" width="19.7109375" style="73" bestFit="1" customWidth="1"/>
    <col min="28" max="16384" width="9.28515625" style="73"/>
  </cols>
  <sheetData>
    <row r="1" spans="1:27" ht="19.5" customHeight="1" thickBot="1">
      <c r="A1" s="90" t="s">
        <v>256</v>
      </c>
      <c r="B1" s="92" t="s">
        <v>168</v>
      </c>
      <c r="C1" s="93"/>
      <c r="D1" s="93"/>
      <c r="E1" s="93"/>
      <c r="F1" s="93"/>
      <c r="G1" s="93"/>
      <c r="H1" s="94"/>
      <c r="J1" s="92" t="s">
        <v>258</v>
      </c>
      <c r="K1" s="93"/>
      <c r="L1" s="93"/>
      <c r="M1" s="93"/>
      <c r="N1" s="93"/>
      <c r="O1" s="94"/>
      <c r="Q1" s="92" t="s">
        <v>169</v>
      </c>
      <c r="R1" s="93"/>
      <c r="S1" s="93"/>
      <c r="T1" s="93"/>
      <c r="U1" s="94"/>
      <c r="W1" s="92" t="s">
        <v>259</v>
      </c>
      <c r="X1" s="93"/>
      <c r="Y1" s="93"/>
      <c r="Z1" s="93"/>
      <c r="AA1" s="94"/>
    </row>
    <row r="2" spans="1:27" ht="15.75" customHeight="1">
      <c r="A2" s="90"/>
      <c r="B2" s="73" t="s">
        <v>13</v>
      </c>
      <c r="C2" s="83" t="s">
        <v>166</v>
      </c>
      <c r="D2" s="73" t="s">
        <v>30</v>
      </c>
      <c r="E2" s="73" t="s">
        <v>31</v>
      </c>
      <c r="F2" s="73" t="s">
        <v>63</v>
      </c>
      <c r="G2" s="76" t="s">
        <v>14</v>
      </c>
      <c r="H2" s="77" t="s">
        <v>15</v>
      </c>
      <c r="J2" s="77" t="s">
        <v>20</v>
      </c>
      <c r="K2" s="77" t="s">
        <v>170</v>
      </c>
      <c r="L2" s="77" t="s">
        <v>23</v>
      </c>
      <c r="M2" s="77" t="s">
        <v>171</v>
      </c>
      <c r="N2" s="77" t="s">
        <v>172</v>
      </c>
      <c r="O2" s="77" t="s">
        <v>173</v>
      </c>
      <c r="Q2" s="76" t="s">
        <v>174</v>
      </c>
      <c r="R2" s="76" t="s">
        <v>175</v>
      </c>
      <c r="S2" s="77" t="s">
        <v>171</v>
      </c>
      <c r="T2" s="77" t="s">
        <v>172</v>
      </c>
      <c r="U2" s="77" t="s">
        <v>173</v>
      </c>
      <c r="W2" s="76" t="s">
        <v>174</v>
      </c>
      <c r="X2" s="76" t="s">
        <v>175</v>
      </c>
      <c r="Y2" s="77" t="s">
        <v>171</v>
      </c>
      <c r="Z2" s="77" t="s">
        <v>172</v>
      </c>
      <c r="AA2" s="77" t="s">
        <v>173</v>
      </c>
    </row>
    <row r="3" spans="1:27" ht="15">
      <c r="A3" s="73" t="b">
        <f>OR(VALUE(LEFT(RIGHT(C3,5),2))&gt;17,VALUE(LEFT(RIGHT(C3,5),2))&lt;8)</f>
        <v>1</v>
      </c>
      <c r="B3" s="73">
        <v>1</v>
      </c>
      <c r="C3" s="89" t="s">
        <v>257</v>
      </c>
      <c r="D3" s="86">
        <v>3</v>
      </c>
      <c r="E3" s="87">
        <v>87</v>
      </c>
      <c r="F3" s="86">
        <v>1013.3</v>
      </c>
      <c r="G3" s="76">
        <f>VALUE(LEFT(C3,10))</f>
        <v>46079</v>
      </c>
      <c r="H3" s="77">
        <f t="shared" ref="H3:H66" si="0">VALUE(RIGHT(C3,5))</f>
        <v>0.83333333333333337</v>
      </c>
      <c r="J3" s="73">
        <f>COUNTIF(G:G,$K3)</f>
        <v>29</v>
      </c>
      <c r="K3" s="76" t="str" cm="1">
        <f t="array" ref="K3:K5">_xlfn._xlws.SORT(TEXT(_xlfn._xlws.FILTER(_xlfn.UNIQUE(G:G),(_xlfn.UNIQUE(G:G)&gt;0)*(_xlfn.UNIQUE(G:G)&lt;&gt;"Дата"),""),"ДД.ММ.ГГГГ"),1,1)</f>
        <v>24.02.2026</v>
      </c>
      <c r="L3" s="73" t="str">
        <f>IF(COUNTA(H:H,$K3,G:G,$K3)=0, "",
  IF(_xlfn.MINIFS(H:H,G:G,$K3)=_xlfn.MAXIFS(H:H,G:G,$K3),
    TEXT(_xlfn.MAXIFS(H:H,G:G,$K3),"чч:мм:сс"),
    "с "&amp;TEXT(_xlfn.MINIFS(H:H,G:G,$K3),"чч:мм:сс")&amp;" по "&amp;TEXT(_xlfn.MAXIFS(H:H,G:G,$K3),"чч:мм:сс")
  )
)</f>
        <v>с 08:00:00 по 17:30:00</v>
      </c>
      <c r="M3" t="str">
        <f>IF(COUNTIFS(G:G,K3)=0,"",
  IF(ROUND(_xlfn.MINIFS(D:D,G:G,K3),1)=ROUND(_xlfn.MAXIFS(D:D,G:G,K3),1),
    IF(_xlfn.MINIFS(D:D,G:G,K3)&lt;0,
      "минус "&amp;TEXT(ROUND(ABS(_xlfn.MINIFS(D:D,G:G,K3)),1),"0,0")&amp;" °C",
      IF(_xlfn.MINIFS(D:D,G:G,K3)=0,
        "0,0 °C",
        "плюс "&amp;TEXT(ROUND(_xlfn.MINIFS(D:D,G:G,K3),1),"0,0")&amp;" °C"
      )
    ),
    "от "&amp;
    IF(_xlfn.MINIFS(D:D,G:G,K3)&lt;0,"минус ",IF(_xlfn.MINIFS(D:D,G:G,K3)=0,"","плюс "))&amp;
    TEXT(ROUND(ABS(_xlfn.MINIFS(D:D,G:G,K3)),1),"0,0")&amp;" °C до "&amp;
    IF(_xlfn.MAXIFS(D:D,G:G,K3)&lt;0,"минус ",IF(_xlfn.MAXIFS(D:D,G:G,K3)=0,"","плюс "))&amp;
    TEXT(ROUND(ABS(_xlfn.MAXIFS(D:D,G:G,K3)),1),"0,0")&amp;" °C"
  )
)</f>
        <v>от плюс 1,0 °C до плюс 6,0 °C</v>
      </c>
      <c r="N3" t="str">
        <f>IF(COUNTA(E:E,$K3,G:G,$K3)=0, "",
  IF(ROUND(_xlfn.MINIFS(E:E,G:G,$K3),1)=ROUND(_xlfn.MAXIFS(E:E,G:G,$K3),1),
    TEXT(ROUND(_xlfn.MAXIFS(E:E,G:G,$K3),1),"0,0")&amp;" %",
    "от "&amp;TEXT(ROUND(_xlfn.MINIFS(E:E,G:G,$K3),1),"0,0")&amp;" % до "&amp;TEXT(ROUND(_xlfn.MAXIFS(E:E,G:G,$K3),1),"0,0")&amp;" %"
  )
)</f>
        <v>от 70,0 % до 100,0 %</v>
      </c>
      <c r="O3" t="str">
        <f>IF(COUNTA(F:F,$K3,G:G,$K3)=0, "",
  IF(ROUND(_xlfn.MINIFS(F:F,G:G,$K3)/10,1)=ROUND(_xlfn.MAXIFS(F:F,G:G,$K3)/10,1),
    TEXT(ROUND(_xlfn.MAXIFS(F:F,G:G,$K3)/10,1),"0,0")&amp;" кПа",
    "от "&amp;TEXT(ROUND(_xlfn.MINIFS(F:F,G:G,$K3)/10,1),"0,0")&amp;" до "&amp;TEXT(ROUND(_xlfn.MAXIFS(F:F,G:G,$K3)/10,1),"0,0")&amp;" кПа"
  )
)</f>
        <v>от 100,4 до 100,6 кПа</v>
      </c>
      <c r="P3" s="78"/>
      <c r="Q3" s="76" t="str">
        <f>K3</f>
        <v>24.02.2026</v>
      </c>
      <c r="R3" s="76" t="str">
        <f>K5</f>
        <v>26.02.2026</v>
      </c>
      <c r="S3" s="76" t="str">
        <f>IF(COUNTIFS(G:G,"&gt;="&amp;$Q3,G:G,"&lt;="&amp;$R3)=0,"",
  IF(ROUND(_xlfn.MINIFS(D:D,G:G,"&gt;="&amp;$Q3,G:G,"&lt;="&amp;$R3),1)=ROUND(_xlfn.MAXIFS(D:D,G:G,"&gt;="&amp;$Q3,G:G,"&lt;="&amp;$R3),1),
    IF(_xlfn.MINIFS(D:D,G:G,"&gt;="&amp;$Q3,G:G,"&lt;="&amp;$R3)&lt;0,
      "минус "&amp;TEXT(ROUND(ABS(_xlfn.MINIFS(D:D,G:G,"&gt;="&amp;$Q3,G:G,"&lt;="&amp;$R3)),1),"0,0")&amp;" °C",
      IF(_xlfn.MINIFS(D:D,G:G,"&gt;="&amp;$Q3,G:G,"&lt;="&amp;$R3)=0,
        "0,0 °C",
        "плюс "&amp;TEXT(ROUND(_xlfn.MINIFS(D:D,G:G,"&gt;="&amp;$Q3,G:G,"&lt;="&amp;$R3),1),"0,0")&amp;" °C"
      )
    ),
    "от "&amp;
    IF(_xlfn.MINIFS(D:D,G:G,"&gt;="&amp;$Q3,G:G,"&lt;="&amp;$R3)&lt;0,"минус ",IF(_xlfn.MINIFS(D:D,G:G,"&gt;="&amp;$Q3,G:G,"&lt;="&amp;$R3)=0,"","плюс "))&amp;
    TEXT(ROUND(ABS(_xlfn.MINIFS(D:D,G:G,"&gt;="&amp;$Q3,G:G,"&lt;="&amp;$R3)),1),"0,0")&amp;" °C до "&amp;
    IF(_xlfn.MAXIFS(D:D,G:G,"&gt;="&amp;$Q3,G:G,"&lt;="&amp;$R3)&lt;0,"минус ",IF(_xlfn.MAXIFS(D:D,G:G,"&gt;="&amp;$Q3,G:G,"&lt;="&amp;$R3)=0,"","плюс "))&amp;
    TEXT(ROUND(ABS(_xlfn.MAXIFS(D:D,G:G,"&gt;="&amp;$Q3,G:G,"&lt;="&amp;$R3)),1),"0,0")&amp;" °C"
  )
)</f>
        <v>от плюс 1,0 °C до плюс 6,0 °C</v>
      </c>
      <c r="T3" t="str">
        <f>IF(COUNTIFS(G:G,"&gt;="&amp;$Q3,G:G,"&lt;="&amp;$R3)=0,"",
  IF(ROUND(_xlfn.MINIFS(E:E,G:G,"&gt;="&amp;$Q3,G:G,"&lt;="&amp;$R3),1)=ROUND(_xlfn.MAXIFS(E:E,G:G,"&gt;="&amp;$Q3,G:G,"&lt;="&amp;$R3),1),
    TEXT(ROUND(_xlfn.MAXIFS(E:E,G:G,"&gt;="&amp;$Q3,G:G,"&lt;="&amp;$R3),1),"0,0")&amp;" %",
    "от "&amp;TEXT(ROUND(_xlfn.MINIFS(E:E,G:G,"&gt;="&amp;$Q3,G:G,"&lt;="&amp;$R3),1),"0,0")&amp;" % до "&amp;TEXT(ROUND(_xlfn.MAXIFS(E:E,G:G,"&gt;="&amp;$Q3,G:G,"&lt;="&amp;$R3),1),"0,0")&amp;" %"
  )
)</f>
        <v>от 70,0 % до 100,0 %</v>
      </c>
      <c r="U3" t="str">
        <f>IF(COUNTIFS(G:G,"&gt;="&amp;$Q3,G:G,"&lt;="&amp;$R3)=0,"",
  IF(ROUND(_xlfn.MINIFS(F:F,G:G,"&gt;="&amp;$Q3,G:G,"&lt;="&amp;$R3)/10,1)=ROUND(_xlfn.MAXIFS(F:F,G:G,"&gt;="&amp;$Q3,G:G,"&lt;="&amp;$R3)/10,1),
    TEXT(ROUND(_xlfn.MAXIFS(F:F,G:G,"&gt;="&amp;$Q3,G:G,"&lt;="&amp;$R3)/10,1),"0,0")&amp;" кПа",
    "от "&amp;TEXT(ROUND(_xlfn.MINIFS(F:F,G:G,"&gt;="&amp;$Q3,G:G,"&lt;="&amp;$R3)/10,1),"0,0")&amp;" до "&amp;TEXT(ROUND(_xlfn.MAXIFS(F:F,G:G,"&gt;="&amp;$Q3,G:G,"&lt;="&amp;$R3)/10,1),"0,0")&amp;" кПа"
  )
)</f>
        <v>от 100,3 до 101,3 кПа</v>
      </c>
      <c r="W3" s="76" t="str">
        <f>K3</f>
        <v>24.02.2026</v>
      </c>
      <c r="X3" s="76" t="str">
        <f>K5</f>
        <v>26.02.2026</v>
      </c>
      <c r="Y3" s="73" t="str">
        <f>IF(COUNTIFS(G:G,"&gt;="&amp;$W3,G:G,"&lt;="&amp;$X3)=0,"",
  IF(ROUND(MAX(15,MIN(35,_xlfn.MINIFS(D:D,G:G,"&gt;="&amp;$W3,G:G,"&lt;="&amp;$X3))),1)=ROUND(MAX(15,MIN(35,_xlfn.MAXIFS(D:D,G:G,"&gt;="&amp;$W3,G:G,"&lt;="&amp;$X3))),1),
    "плюс "&amp;TEXT(ROUND(MAX(15,MIN(35,_xlfn.MINIFS(D:D,G:G,"&gt;="&amp;$W3,G:G,"&lt;="&amp;$X3))),1),"0,0")&amp;" °C",
    "от плюс "&amp;TEXT(ROUND(MAX(15,MIN(35,_xlfn.MINIFS(D:D,G:G,"&gt;="&amp;$W3,G:G,"&lt;="&amp;$X3))),1),"0,0")&amp;" °C до плюс "&amp;TEXT(ROUND(MAX(15,MIN(35,_xlfn.MAXIFS(D:D,G:G,"&gt;="&amp;$W3,G:G,"&lt;="&amp;$X3))),1),"0,0")&amp;" °C"
  )
)</f>
        <v>плюс 15,0 °C</v>
      </c>
      <c r="Z3" s="73" t="str">
        <f>IF(COUNTIFS(G:G,"&gt;="&amp;$W3,G:G,"&lt;="&amp;$X3)=0,"",
  IF(ROUND(MAX(48,MIN(77,_xlfn.MINIFS(E:E,G:G,"&gt;="&amp;$W3,G:G,"&lt;="&amp;$X3))),1)=ROUND(MAX(48,MIN(77,_xlfn.MAXIFS(E:E,G:G,"&gt;="&amp;$W3,G:G,"&lt;="&amp;$X3))),1),
    TEXT(ROUND(MAX(48,MIN(77,_xlfn.MAXIFS(E:E,G:G,"&gt;="&amp;$W3,G:G,"&lt;="&amp;$X3))),1),"0,0")&amp;" %",
    "от "&amp;TEXT(ROUND(MAX(48,MIN(77,_xlfn.MINIFS(E:E,G:G,"&gt;="&amp;$W3,G:G,"&lt;="&amp;$X3))),1),"0,0")&amp;" % до "&amp;TEXT(ROUND(MAX(48,MIN(77,_xlfn.MAXIFS(E:E,G:G,"&gt;="&amp;$W3,G:G,"&lt;="&amp;$X3))),1),"0,0")&amp;" %"
  )
)</f>
        <v>от 70,0 % до 77,0 %</v>
      </c>
      <c r="AA3" s="73" t="str">
        <f>IF(COUNTIFS(G:G,"&gt;="&amp;$W3,G:G,"&lt;="&amp;$X3)=0,"",
  IF(ROUND(MAX(84,MIN(106.7,_xlfn.MINIFS(F:F,G:G,"&gt;="&amp;$W3,G:G,"&lt;="&amp;$X3)/10)),1)=ROUND(MAX(84,MIN(106.7,_xlfn.MAXIFS(F:F,G:G,"&gt;="&amp;$W3,G:G,"&lt;="&amp;$X3)/10)),1),
    TEXT(ROUND(MAX(84,MIN(106.7,_xlfn.MAXIFS(F:F,G:G,"&gt;="&amp;$W3,G:G,"&lt;="&amp;$X3)/10)),1),"0,0")&amp;" кПа",
    "от "&amp;TEXT(ROUND(MAX(84,MIN(106.7,_xlfn.MINIFS(F:F,G:G,"&gt;="&amp;$W3,G:G,"&lt;="&amp;$X3)/10)),1),"0,0")&amp;" до "&amp;TEXT(ROUND(MAX(84,MIN(106.7,_xlfn.MAXIFS(F:F,G:G,"&gt;="&amp;$W3,G:G,"&lt;="&amp;$X3)/10)),1),"0,0")&amp;" кПа"
  )
)</f>
        <v>от 100,3 до 101,3 кПа</v>
      </c>
    </row>
    <row r="4" spans="1:27" ht="15">
      <c r="A4" s="73" t="b">
        <f t="shared" ref="A4:A67" si="1">OR(VALUE(LEFT(RIGHT(C4,5),2))&gt;17,VALUE(LEFT(RIGHT(C4,5),2))&lt;8)</f>
        <v>0</v>
      </c>
      <c r="B4" s="73">
        <v>2</v>
      </c>
      <c r="C4" s="89" t="s">
        <v>176</v>
      </c>
      <c r="D4" s="86">
        <v>3</v>
      </c>
      <c r="E4" s="87">
        <v>81</v>
      </c>
      <c r="F4" s="86">
        <v>1013.3</v>
      </c>
      <c r="G4" s="76">
        <f t="shared" ref="G4:G67" si="2">VALUE(LEFT(C4,10))</f>
        <v>46079</v>
      </c>
      <c r="H4" s="77">
        <f t="shared" si="0"/>
        <v>0.70833333333333337</v>
      </c>
      <c r="J4" s="73">
        <f>COUNTIF(G:G,$K4)</f>
        <v>28</v>
      </c>
      <c r="K4" s="76" t="str">
        <v>25.02.2026</v>
      </c>
      <c r="L4" s="73" t="str">
        <f>IF(COUNTA(H:H,$K4,G:G,$K4)=0, "",
  IF(_xlfn.MINIFS(H:H,G:G,$K4)=_xlfn.MAXIFS(H:H,G:G,$K4),
    TEXT(_xlfn.MAXIFS(H:H,G:G,$K4),"чч:мм:сс"),
    "с "&amp;TEXT(_xlfn.MINIFS(H:H,G:G,$K4),"чч:мм:сс")&amp;" по "&amp;TEXT(_xlfn.MAXIFS(H:H,G:G,$K4),"чч:мм:сс")
  )
)</f>
        <v>с 08:00:00 по 17:30:00</v>
      </c>
      <c r="M4" t="str">
        <f>IF(COUNTIFS(G:G,K4)=0,"",
  IF(ROUND(_xlfn.MINIFS(D:D,G:G,K4),1)=ROUND(_xlfn.MAXIFS(D:D,G:G,K4),1),
    IF(_xlfn.MINIFS(D:D,G:G,K4)&lt;0,
      "минус "&amp;TEXT(ROUND(ABS(_xlfn.MINIFS(D:D,G:G,K4)),1),"0,0")&amp;" °C",
      IF(_xlfn.MINIFS(D:D,G:G,K4)=0,
        "0,0 °C",
        "плюс "&amp;TEXT(ROUND(_xlfn.MINIFS(D:D,G:G,K4),1),"0,0")&amp;" °C"
      )
    ),
    "от "&amp;
    IF(_xlfn.MINIFS(D:D,G:G,K4)&lt;0,"минус ",IF(_xlfn.MINIFS(D:D,G:G,K4)=0,"","плюс "))&amp;
    TEXT(ROUND(ABS(_xlfn.MINIFS(D:D,G:G,K4)),1),"0,0")&amp;" °C до "&amp;
    IF(_xlfn.MAXIFS(D:D,G:G,K4)&lt;0,"минус ",IF(_xlfn.MAXIFS(D:D,G:G,K4)=0,"","плюс "))&amp;
    TEXT(ROUND(ABS(_xlfn.MAXIFS(D:D,G:G,K4)),1),"0,0")&amp;" °C"
  )
)</f>
        <v>от плюс 2,0 °C до плюс 6,0 °C</v>
      </c>
      <c r="N4" t="str">
        <f>IF(COUNTA(E:E,$K4,G:G,$K4)=0, "",
  IF(ROUND(_xlfn.MINIFS(E:E,G:G,$K4),1)=ROUND(_xlfn.MAXIFS(E:E,G:G,$K4),1),
    TEXT(ROUND(_xlfn.MAXIFS(E:E,G:G,$K4),1),"0,0")&amp;" %",
    "от "&amp;TEXT(ROUND(_xlfn.MINIFS(E:E,G:G,$K4),1),"0,0")&amp;" % до "&amp;TEXT(ROUND(_xlfn.MAXIFS(E:E,G:G,$K4),1),"0,0")&amp;" %"
  )
)</f>
        <v>от 93,0 % до 100,0 %</v>
      </c>
      <c r="O4" t="str">
        <f>IF(COUNTA(F:F,$K4,G:G,$K4)=0, "",
  IF(ROUND(_xlfn.MINIFS(F:F,G:G,$K4)/10,1)=ROUND(_xlfn.MAXIFS(F:F,G:G,$K4)/10,1),
    TEXT(ROUND(_xlfn.MAXIFS(F:F,G:G,$K4)/10,1),"0,0")&amp;" кПа",
    "от "&amp;TEXT(ROUND(_xlfn.MINIFS(F:F,G:G,$K4)/10,1),"0,0")&amp;" до "&amp;TEXT(ROUND(_xlfn.MAXIFS(F:F,G:G,$K4)/10,1),"0,0")&amp;" кПа"
  )
)</f>
        <v>от 100,3 до 100,4 кПа</v>
      </c>
      <c r="P4" s="78"/>
    </row>
    <row r="5" spans="1:27" ht="15" customHeight="1">
      <c r="A5" s="73" t="b">
        <f t="shared" si="1"/>
        <v>0</v>
      </c>
      <c r="B5" s="73">
        <v>3</v>
      </c>
      <c r="C5" s="89" t="s">
        <v>177</v>
      </c>
      <c r="D5" s="86">
        <v>4</v>
      </c>
      <c r="E5" s="87">
        <v>75</v>
      </c>
      <c r="F5" s="86">
        <v>1012.2</v>
      </c>
      <c r="G5" s="76">
        <f t="shared" si="2"/>
        <v>46079</v>
      </c>
      <c r="H5" s="77">
        <f t="shared" si="0"/>
        <v>0.6875</v>
      </c>
      <c r="J5" s="73">
        <f>COUNTIF(G:G,$K5)</f>
        <v>24</v>
      </c>
      <c r="K5" s="76" t="str">
        <v>26.02.2026</v>
      </c>
      <c r="L5" s="73" t="str">
        <f>IF(COUNTA(H:H,$K5,G:G,$K5)=0, "",
  IF(_xlfn.MINIFS(H:H,G:G,$K5)=_xlfn.MAXIFS(H:H,G:G,$K5),
    TEXT(_xlfn.MAXIFS(H:H,G:G,$K5),"чч:мм:сс"),
    "с "&amp;TEXT(_xlfn.MINIFS(H:H,G:G,$K5),"чч:мм:сс")&amp;" по "&amp;TEXT(_xlfn.MAXIFS(H:H,G:G,$K5),"чч:мм:сс")
  )
)</f>
        <v>с 08:00:00 по 20:00:00</v>
      </c>
      <c r="M5" t="str">
        <f>IF(COUNTIFS(G:G,K5)=0,"",
  IF(ROUND(_xlfn.MINIFS(D:D,G:G,K5),1)=ROUND(_xlfn.MAXIFS(D:D,G:G,K5),1),
    IF(_xlfn.MINIFS(D:D,G:G,K5)&lt;0,
      "минус "&amp;TEXT(ROUND(ABS(_xlfn.MINIFS(D:D,G:G,K5)),1),"0,0")&amp;" °C",
      IF(_xlfn.MINIFS(D:D,G:G,K5)=0,
        "0,0 °C",
        "плюс "&amp;TEXT(ROUND(_xlfn.MINIFS(D:D,G:G,K5),1),"0,0")&amp;" °C"
      )
    ),
    "от "&amp;
    IF(_xlfn.MINIFS(D:D,G:G,K5)&lt;0,"минус ",IF(_xlfn.MINIFS(D:D,G:G,K5)=0,"","плюс "))&amp;
    TEXT(ROUND(ABS(_xlfn.MINIFS(D:D,G:G,K5)),1),"0,0")&amp;" °C до "&amp;
    IF(_xlfn.MAXIFS(D:D,G:G,K5)&lt;0,"минус ",IF(_xlfn.MAXIFS(D:D,G:G,K5)=0,"","плюс "))&amp;
    TEXT(ROUND(ABS(_xlfn.MAXIFS(D:D,G:G,K5)),1),"0,0")&amp;" °C"
  )
)</f>
        <v>от плюс 2,0 °C до плюс 5,0 °C</v>
      </c>
      <c r="N5" t="str">
        <f>IF(COUNTA(E:E,$K5,G:G,$K5)=0, "",
  IF(ROUND(_xlfn.MINIFS(E:E,G:G,$K5),1)=ROUND(_xlfn.MAXIFS(E:E,G:G,$K5),1),
    TEXT(ROUND(_xlfn.MAXIFS(E:E,G:G,$K5),1),"0,0")&amp;" %",
    "от "&amp;TEXT(ROUND(_xlfn.MINIFS(E:E,G:G,$K5),1),"0,0")&amp;" % до "&amp;TEXT(ROUND(_xlfn.MAXIFS(E:E,G:G,$K5),1),"0,0")&amp;" %"
  )
)</f>
        <v>от 75,0 % до 100,0 %</v>
      </c>
      <c r="O5" t="str">
        <f>IF(COUNTA(F:F,$K5,G:G,$K5)=0, "",
  IF(ROUND(_xlfn.MINIFS(F:F,G:G,$K5)/10,1)=ROUND(_xlfn.MAXIFS(F:F,G:G,$K5)/10,1),
    TEXT(ROUND(_xlfn.MAXIFS(F:F,G:G,$K5)/10,1),"0,0")&amp;" кПа",
    "от "&amp;TEXT(ROUND(_xlfn.MINIFS(F:F,G:G,$K5)/10,1),"0,0")&amp;" до "&amp;TEXT(ROUND(_xlfn.MAXIFS(F:F,G:G,$K5)/10,1),"0,0")&amp;" кПа"
  )
)</f>
        <v>от 100,9 до 101,3 кПа</v>
      </c>
      <c r="P5" s="79"/>
    </row>
    <row r="6" spans="1:27" ht="15">
      <c r="A6" s="73" t="b">
        <f t="shared" si="1"/>
        <v>0</v>
      </c>
      <c r="B6" s="73">
        <v>4</v>
      </c>
      <c r="C6" s="89" t="s">
        <v>178</v>
      </c>
      <c r="D6" s="86">
        <v>4</v>
      </c>
      <c r="E6" s="87">
        <v>81</v>
      </c>
      <c r="F6" s="86">
        <v>1012.2</v>
      </c>
      <c r="G6" s="76">
        <f t="shared" si="2"/>
        <v>46079</v>
      </c>
      <c r="H6" s="77">
        <f t="shared" si="0"/>
        <v>0.66666666666666663</v>
      </c>
      <c r="M6"/>
      <c r="N6"/>
      <c r="O6"/>
      <c r="P6" s="79"/>
    </row>
    <row r="7" spans="1:27" ht="15">
      <c r="A7" s="73" t="b">
        <f t="shared" si="1"/>
        <v>0</v>
      </c>
      <c r="B7" s="73">
        <v>5</v>
      </c>
      <c r="C7" s="89" t="s">
        <v>179</v>
      </c>
      <c r="D7" s="86">
        <v>4</v>
      </c>
      <c r="E7" s="87">
        <v>75</v>
      </c>
      <c r="F7" s="86">
        <v>1012.2</v>
      </c>
      <c r="G7" s="76">
        <f t="shared" si="2"/>
        <v>46079</v>
      </c>
      <c r="H7" s="77">
        <f t="shared" si="0"/>
        <v>0.64583333333333337</v>
      </c>
      <c r="M7"/>
      <c r="N7"/>
      <c r="O7"/>
    </row>
    <row r="8" spans="1:27" ht="15">
      <c r="A8" s="73" t="b">
        <f t="shared" si="1"/>
        <v>0</v>
      </c>
      <c r="B8" s="73">
        <v>6</v>
      </c>
      <c r="C8" s="89" t="s">
        <v>180</v>
      </c>
      <c r="D8" s="86">
        <v>5</v>
      </c>
      <c r="E8" s="87">
        <v>76</v>
      </c>
      <c r="F8" s="86">
        <v>1012.2</v>
      </c>
      <c r="G8" s="76">
        <f t="shared" si="2"/>
        <v>46079</v>
      </c>
      <c r="H8" s="77">
        <f t="shared" si="0"/>
        <v>0.625</v>
      </c>
      <c r="M8"/>
      <c r="N8"/>
      <c r="O8"/>
    </row>
    <row r="9" spans="1:27" ht="15">
      <c r="A9" s="73" t="b">
        <f t="shared" si="1"/>
        <v>0</v>
      </c>
      <c r="B9" s="73">
        <v>7</v>
      </c>
      <c r="C9" s="89" t="s">
        <v>181</v>
      </c>
      <c r="D9" s="86">
        <v>5</v>
      </c>
      <c r="E9" s="87">
        <v>76</v>
      </c>
      <c r="F9" s="86">
        <v>1011.3</v>
      </c>
      <c r="G9" s="76">
        <f t="shared" si="2"/>
        <v>46079</v>
      </c>
      <c r="H9" s="77">
        <f t="shared" si="0"/>
        <v>0.60416666666666663</v>
      </c>
      <c r="M9"/>
      <c r="N9"/>
      <c r="O9"/>
    </row>
    <row r="10" spans="1:27">
      <c r="A10" s="73" t="b">
        <f t="shared" si="1"/>
        <v>0</v>
      </c>
      <c r="B10" s="73">
        <v>8</v>
      </c>
      <c r="C10" s="89" t="s">
        <v>182</v>
      </c>
      <c r="D10" s="86">
        <v>4</v>
      </c>
      <c r="E10" s="87">
        <v>81</v>
      </c>
      <c r="F10" s="86">
        <v>1011.1</v>
      </c>
      <c r="G10" s="76">
        <f t="shared" si="2"/>
        <v>46079</v>
      </c>
      <c r="H10" s="77">
        <f t="shared" si="0"/>
        <v>0.58333333333333337</v>
      </c>
    </row>
    <row r="11" spans="1:27">
      <c r="A11" s="73" t="b">
        <f t="shared" si="1"/>
        <v>0</v>
      </c>
      <c r="B11" s="73">
        <v>9</v>
      </c>
      <c r="C11" s="89" t="s">
        <v>183</v>
      </c>
      <c r="D11" s="86">
        <v>3</v>
      </c>
      <c r="E11" s="87">
        <v>93</v>
      </c>
      <c r="F11" s="86">
        <v>1011.1</v>
      </c>
      <c r="G11" s="76">
        <f t="shared" si="2"/>
        <v>46079</v>
      </c>
      <c r="H11" s="77">
        <f t="shared" si="0"/>
        <v>0.5625</v>
      </c>
    </row>
    <row r="12" spans="1:27">
      <c r="A12" s="73" t="b">
        <f t="shared" si="1"/>
        <v>0</v>
      </c>
      <c r="B12" s="73">
        <v>10</v>
      </c>
      <c r="C12" s="89" t="s">
        <v>184</v>
      </c>
      <c r="D12" s="86">
        <v>3</v>
      </c>
      <c r="E12" s="87">
        <v>93</v>
      </c>
      <c r="F12" s="86">
        <v>1011.1</v>
      </c>
      <c r="G12" s="76">
        <f t="shared" si="2"/>
        <v>46079</v>
      </c>
      <c r="H12" s="77">
        <f t="shared" si="0"/>
        <v>0.55208333333333337</v>
      </c>
      <c r="K12" s="80"/>
    </row>
    <row r="13" spans="1:27" ht="15">
      <c r="A13" s="73" t="b">
        <f t="shared" si="1"/>
        <v>0</v>
      </c>
      <c r="B13" s="73">
        <v>11</v>
      </c>
      <c r="C13" s="89" t="s">
        <v>185</v>
      </c>
      <c r="D13" s="86">
        <v>3</v>
      </c>
      <c r="E13" s="87">
        <v>93</v>
      </c>
      <c r="F13" s="86">
        <v>1011.1</v>
      </c>
      <c r="G13" s="76">
        <f t="shared" si="2"/>
        <v>46079</v>
      </c>
      <c r="H13" s="77">
        <f t="shared" si="0"/>
        <v>0.54166666666666663</v>
      </c>
      <c r="K13" s="80"/>
      <c r="M13" s="81"/>
    </row>
    <row r="14" spans="1:27">
      <c r="A14" s="73" t="b">
        <f t="shared" si="1"/>
        <v>0</v>
      </c>
      <c r="B14" s="73">
        <v>12</v>
      </c>
      <c r="C14" s="89" t="s">
        <v>186</v>
      </c>
      <c r="D14" s="86">
        <v>3</v>
      </c>
      <c r="E14" s="87">
        <v>93</v>
      </c>
      <c r="F14" s="86">
        <v>1011.1</v>
      </c>
      <c r="G14" s="76">
        <f t="shared" si="2"/>
        <v>46079</v>
      </c>
      <c r="H14" s="77">
        <f t="shared" si="0"/>
        <v>0.53194444444444444</v>
      </c>
      <c r="K14" s="80"/>
    </row>
    <row r="15" spans="1:27">
      <c r="A15" s="73" t="b">
        <f t="shared" si="1"/>
        <v>0</v>
      </c>
      <c r="B15" s="73">
        <v>13</v>
      </c>
      <c r="C15" s="89" t="s">
        <v>187</v>
      </c>
      <c r="D15" s="86">
        <v>3</v>
      </c>
      <c r="E15" s="87">
        <v>93</v>
      </c>
      <c r="F15" s="86">
        <v>1011.1</v>
      </c>
      <c r="G15" s="76">
        <f t="shared" si="2"/>
        <v>46079</v>
      </c>
      <c r="H15" s="77">
        <f t="shared" si="0"/>
        <v>0.52430555555555558</v>
      </c>
      <c r="K15" s="80"/>
    </row>
    <row r="16" spans="1:27">
      <c r="A16" s="73" t="b">
        <f t="shared" si="1"/>
        <v>0</v>
      </c>
      <c r="B16" s="73">
        <v>14</v>
      </c>
      <c r="C16" s="89" t="s">
        <v>188</v>
      </c>
      <c r="D16" s="86">
        <v>3</v>
      </c>
      <c r="E16" s="87">
        <v>93</v>
      </c>
      <c r="F16" s="86">
        <v>1011.1</v>
      </c>
      <c r="G16" s="76">
        <f t="shared" si="2"/>
        <v>46079</v>
      </c>
      <c r="H16" s="77">
        <f t="shared" si="0"/>
        <v>0.52083333333333337</v>
      </c>
      <c r="K16" s="80"/>
    </row>
    <row r="17" spans="1:11">
      <c r="A17" s="73" t="b">
        <f t="shared" si="1"/>
        <v>0</v>
      </c>
      <c r="B17" s="73">
        <v>15</v>
      </c>
      <c r="C17" s="89" t="s">
        <v>189</v>
      </c>
      <c r="D17" s="86">
        <v>2</v>
      </c>
      <c r="E17" s="87">
        <v>100</v>
      </c>
      <c r="F17" s="86">
        <v>1011.1</v>
      </c>
      <c r="G17" s="76">
        <f t="shared" si="2"/>
        <v>46079</v>
      </c>
      <c r="H17" s="77">
        <f t="shared" si="0"/>
        <v>0.5</v>
      </c>
      <c r="K17" s="80"/>
    </row>
    <row r="18" spans="1:11">
      <c r="A18" s="73" t="b">
        <f t="shared" si="1"/>
        <v>0</v>
      </c>
      <c r="B18" s="73">
        <v>16</v>
      </c>
      <c r="C18" s="89" t="s">
        <v>190</v>
      </c>
      <c r="D18" s="86">
        <v>2</v>
      </c>
      <c r="E18" s="87">
        <v>93</v>
      </c>
      <c r="F18" s="86">
        <v>1011.1</v>
      </c>
      <c r="G18" s="76">
        <f t="shared" si="2"/>
        <v>46079</v>
      </c>
      <c r="H18" s="77">
        <f t="shared" si="0"/>
        <v>0.47916666666666669</v>
      </c>
      <c r="K18" s="80"/>
    </row>
    <row r="19" spans="1:11">
      <c r="A19" s="73" t="b">
        <f t="shared" si="1"/>
        <v>0</v>
      </c>
      <c r="B19" s="73">
        <v>17</v>
      </c>
      <c r="C19" s="89" t="s">
        <v>191</v>
      </c>
      <c r="D19" s="86">
        <v>2</v>
      </c>
      <c r="E19" s="87">
        <v>93</v>
      </c>
      <c r="F19" s="86">
        <v>1011.1</v>
      </c>
      <c r="G19" s="76">
        <f t="shared" si="2"/>
        <v>46079</v>
      </c>
      <c r="H19" s="77">
        <f t="shared" si="0"/>
        <v>0.45833333333333331</v>
      </c>
    </row>
    <row r="20" spans="1:11">
      <c r="A20" s="73" t="b">
        <f t="shared" si="1"/>
        <v>0</v>
      </c>
      <c r="B20" s="73">
        <v>18</v>
      </c>
      <c r="C20" s="89" t="s">
        <v>192</v>
      </c>
      <c r="D20" s="86">
        <v>2</v>
      </c>
      <c r="E20" s="87">
        <v>93</v>
      </c>
      <c r="F20" s="86">
        <v>1010.2</v>
      </c>
      <c r="G20" s="76">
        <f t="shared" si="2"/>
        <v>46079</v>
      </c>
      <c r="H20" s="77">
        <f t="shared" si="0"/>
        <v>0.4375</v>
      </c>
    </row>
    <row r="21" spans="1:11">
      <c r="A21" s="73" t="b">
        <f t="shared" si="1"/>
        <v>0</v>
      </c>
      <c r="B21" s="73">
        <v>19</v>
      </c>
      <c r="C21" s="89" t="s">
        <v>193</v>
      </c>
      <c r="D21" s="86">
        <v>2</v>
      </c>
      <c r="E21" s="87">
        <v>93</v>
      </c>
      <c r="F21" s="86">
        <v>1010.2</v>
      </c>
      <c r="G21" s="76">
        <f t="shared" si="2"/>
        <v>46079</v>
      </c>
      <c r="H21" s="77">
        <f t="shared" si="0"/>
        <v>0.41666666666666669</v>
      </c>
    </row>
    <row r="22" spans="1:11">
      <c r="A22" s="73" t="b">
        <f t="shared" si="1"/>
        <v>0</v>
      </c>
      <c r="B22" s="73">
        <v>20</v>
      </c>
      <c r="C22" s="89" t="s">
        <v>194</v>
      </c>
      <c r="D22" s="86">
        <v>2</v>
      </c>
      <c r="E22" s="87">
        <v>100</v>
      </c>
      <c r="F22" s="86">
        <v>1010.2</v>
      </c>
      <c r="G22" s="76">
        <f t="shared" si="2"/>
        <v>46079</v>
      </c>
      <c r="H22" s="77">
        <f t="shared" si="0"/>
        <v>0.39583333333333331</v>
      </c>
    </row>
    <row r="23" spans="1:11">
      <c r="A23" s="73" t="b">
        <f t="shared" si="1"/>
        <v>0</v>
      </c>
      <c r="B23" s="73">
        <v>21</v>
      </c>
      <c r="C23" s="89" t="s">
        <v>195</v>
      </c>
      <c r="D23" s="86">
        <v>2</v>
      </c>
      <c r="E23" s="87">
        <v>100</v>
      </c>
      <c r="F23" s="86">
        <v>1010.2</v>
      </c>
      <c r="G23" s="76">
        <f t="shared" si="2"/>
        <v>46079</v>
      </c>
      <c r="H23" s="77">
        <f t="shared" si="0"/>
        <v>0.375</v>
      </c>
    </row>
    <row r="24" spans="1:11">
      <c r="A24" s="73" t="b">
        <f t="shared" si="1"/>
        <v>0</v>
      </c>
      <c r="B24" s="73">
        <v>22</v>
      </c>
      <c r="C24" s="89" t="s">
        <v>196</v>
      </c>
      <c r="D24" s="86">
        <v>2</v>
      </c>
      <c r="E24" s="87">
        <v>100</v>
      </c>
      <c r="F24" s="86">
        <v>1010.2</v>
      </c>
      <c r="G24" s="76">
        <f t="shared" si="2"/>
        <v>46079</v>
      </c>
      <c r="H24" s="77">
        <f t="shared" si="0"/>
        <v>0.36527777777777781</v>
      </c>
    </row>
    <row r="25" spans="1:11">
      <c r="A25" s="73" t="b">
        <f t="shared" si="1"/>
        <v>0</v>
      </c>
      <c r="B25" s="73">
        <v>23</v>
      </c>
      <c r="C25" s="89" t="s">
        <v>197</v>
      </c>
      <c r="D25" s="86">
        <v>2</v>
      </c>
      <c r="E25" s="87">
        <v>100</v>
      </c>
      <c r="F25" s="86">
        <v>1009.1</v>
      </c>
      <c r="G25" s="76">
        <f t="shared" si="2"/>
        <v>46079</v>
      </c>
      <c r="H25" s="77">
        <f t="shared" si="0"/>
        <v>0.35416666666666669</v>
      </c>
    </row>
    <row r="26" spans="1:11">
      <c r="A26" s="73" t="b">
        <f t="shared" si="1"/>
        <v>0</v>
      </c>
      <c r="B26" s="73">
        <v>24</v>
      </c>
      <c r="C26" s="89" t="s">
        <v>198</v>
      </c>
      <c r="D26" s="86">
        <v>2</v>
      </c>
      <c r="E26" s="87">
        <v>100</v>
      </c>
      <c r="F26" s="86">
        <v>1009.1</v>
      </c>
      <c r="G26" s="76">
        <f t="shared" si="2"/>
        <v>46079</v>
      </c>
      <c r="H26" s="77">
        <f t="shared" si="0"/>
        <v>0.33333333333333331</v>
      </c>
    </row>
    <row r="27" spans="1:11">
      <c r="A27" s="73" t="b">
        <f t="shared" si="1"/>
        <v>0</v>
      </c>
      <c r="B27" s="73">
        <v>25</v>
      </c>
      <c r="C27" s="89" t="s">
        <v>199</v>
      </c>
      <c r="D27" s="86">
        <v>5</v>
      </c>
      <c r="E27" s="87">
        <v>93</v>
      </c>
      <c r="F27" s="86">
        <v>1003.3</v>
      </c>
      <c r="G27" s="76">
        <f t="shared" si="2"/>
        <v>46078</v>
      </c>
      <c r="H27" s="77">
        <f t="shared" si="0"/>
        <v>0.72916666666666663</v>
      </c>
    </row>
    <row r="28" spans="1:11">
      <c r="A28" s="73" t="b">
        <f t="shared" si="1"/>
        <v>0</v>
      </c>
      <c r="B28" s="73">
        <v>26</v>
      </c>
      <c r="C28" s="89" t="s">
        <v>200</v>
      </c>
      <c r="D28" s="86">
        <v>5</v>
      </c>
      <c r="E28" s="87">
        <v>93</v>
      </c>
      <c r="F28" s="86">
        <v>1003.3</v>
      </c>
      <c r="G28" s="76">
        <f t="shared" si="2"/>
        <v>46078</v>
      </c>
      <c r="H28" s="77">
        <f t="shared" si="0"/>
        <v>0.70833333333333337</v>
      </c>
    </row>
    <row r="29" spans="1:11">
      <c r="A29" s="73" t="b">
        <f t="shared" si="1"/>
        <v>0</v>
      </c>
      <c r="B29" s="73">
        <v>27</v>
      </c>
      <c r="C29" s="89" t="s">
        <v>201</v>
      </c>
      <c r="D29" s="86">
        <v>5</v>
      </c>
      <c r="E29" s="87">
        <v>100</v>
      </c>
      <c r="F29" s="86">
        <v>1003.3</v>
      </c>
      <c r="G29" s="76">
        <f t="shared" si="2"/>
        <v>46078</v>
      </c>
      <c r="H29" s="77">
        <f t="shared" si="0"/>
        <v>0.6875</v>
      </c>
    </row>
    <row r="30" spans="1:11">
      <c r="A30" s="73" t="b">
        <f t="shared" si="1"/>
        <v>0</v>
      </c>
      <c r="B30" s="73">
        <v>28</v>
      </c>
      <c r="C30" s="89" t="s">
        <v>202</v>
      </c>
      <c r="D30" s="86">
        <v>5</v>
      </c>
      <c r="E30" s="87">
        <v>100</v>
      </c>
      <c r="F30" s="86">
        <v>1003.3</v>
      </c>
      <c r="G30" s="76">
        <f t="shared" si="2"/>
        <v>46078</v>
      </c>
      <c r="H30" s="77">
        <f t="shared" si="0"/>
        <v>0.66666666666666663</v>
      </c>
    </row>
    <row r="31" spans="1:11">
      <c r="A31" s="73" t="b">
        <f t="shared" si="1"/>
        <v>0</v>
      </c>
      <c r="B31" s="73">
        <v>29</v>
      </c>
      <c r="C31" s="89" t="s">
        <v>203</v>
      </c>
      <c r="D31" s="86">
        <v>5</v>
      </c>
      <c r="E31" s="87">
        <v>100</v>
      </c>
      <c r="F31" s="86">
        <v>1003.3</v>
      </c>
      <c r="G31" s="76">
        <f t="shared" si="2"/>
        <v>46078</v>
      </c>
      <c r="H31" s="77">
        <f t="shared" si="0"/>
        <v>0.64583333333333337</v>
      </c>
    </row>
    <row r="32" spans="1:11">
      <c r="A32" s="73" t="b">
        <f t="shared" si="1"/>
        <v>0</v>
      </c>
      <c r="B32" s="73">
        <v>30</v>
      </c>
      <c r="C32" s="89" t="s">
        <v>204</v>
      </c>
      <c r="D32" s="86">
        <v>6</v>
      </c>
      <c r="E32" s="87">
        <v>100</v>
      </c>
      <c r="F32" s="86">
        <v>1003.3</v>
      </c>
      <c r="G32" s="76">
        <f t="shared" si="2"/>
        <v>46078</v>
      </c>
      <c r="H32" s="77">
        <f t="shared" si="0"/>
        <v>0.625</v>
      </c>
    </row>
    <row r="33" spans="1:8">
      <c r="A33" s="73" t="b">
        <f t="shared" si="1"/>
        <v>0</v>
      </c>
      <c r="B33" s="73">
        <v>31</v>
      </c>
      <c r="C33" s="89" t="s">
        <v>205</v>
      </c>
      <c r="D33" s="86">
        <v>5</v>
      </c>
      <c r="E33" s="87">
        <v>100</v>
      </c>
      <c r="F33" s="86">
        <v>1003.3</v>
      </c>
      <c r="G33" s="76">
        <f t="shared" si="2"/>
        <v>46078</v>
      </c>
      <c r="H33" s="77">
        <f t="shared" si="0"/>
        <v>0.60416666666666663</v>
      </c>
    </row>
    <row r="34" spans="1:8">
      <c r="A34" s="73" t="b">
        <f t="shared" si="1"/>
        <v>0</v>
      </c>
      <c r="B34" s="73">
        <v>32</v>
      </c>
      <c r="C34" s="89" t="s">
        <v>206</v>
      </c>
      <c r="D34" s="86">
        <v>6</v>
      </c>
      <c r="E34" s="87">
        <v>100</v>
      </c>
      <c r="F34" s="86">
        <v>1003.3</v>
      </c>
      <c r="G34" s="76">
        <f t="shared" si="2"/>
        <v>46078</v>
      </c>
      <c r="H34" s="77">
        <f t="shared" si="0"/>
        <v>0.58333333333333337</v>
      </c>
    </row>
    <row r="35" spans="1:8">
      <c r="A35" s="73" t="b">
        <f t="shared" si="1"/>
        <v>0</v>
      </c>
      <c r="B35" s="73">
        <v>33</v>
      </c>
      <c r="C35" s="89" t="s">
        <v>207</v>
      </c>
      <c r="D35" s="86">
        <v>5</v>
      </c>
      <c r="E35" s="87">
        <v>100</v>
      </c>
      <c r="F35" s="86">
        <v>1003.3</v>
      </c>
      <c r="G35" s="76">
        <f t="shared" si="2"/>
        <v>46078</v>
      </c>
      <c r="H35" s="77">
        <f t="shared" si="0"/>
        <v>0.5625</v>
      </c>
    </row>
    <row r="36" spans="1:8">
      <c r="A36" s="73" t="b">
        <f t="shared" si="1"/>
        <v>0</v>
      </c>
      <c r="B36" s="73">
        <v>34</v>
      </c>
      <c r="C36" s="89" t="s">
        <v>208</v>
      </c>
      <c r="D36" s="86">
        <v>4</v>
      </c>
      <c r="E36" s="87">
        <v>100</v>
      </c>
      <c r="F36" s="86">
        <v>1003.3</v>
      </c>
      <c r="G36" s="76">
        <f t="shared" si="2"/>
        <v>46078</v>
      </c>
      <c r="H36" s="77">
        <f t="shared" si="0"/>
        <v>0.54166666666666663</v>
      </c>
    </row>
    <row r="37" spans="1:8">
      <c r="A37" s="73" t="b">
        <f t="shared" si="1"/>
        <v>0</v>
      </c>
      <c r="B37" s="73">
        <v>35</v>
      </c>
      <c r="C37" s="89" t="s">
        <v>209</v>
      </c>
      <c r="D37" s="86">
        <v>4</v>
      </c>
      <c r="E37" s="87">
        <v>100</v>
      </c>
      <c r="F37" s="86">
        <v>1003.3</v>
      </c>
      <c r="G37" s="76">
        <f t="shared" si="2"/>
        <v>46078</v>
      </c>
      <c r="H37" s="77">
        <f t="shared" si="0"/>
        <v>0.53472222222222221</v>
      </c>
    </row>
    <row r="38" spans="1:8">
      <c r="A38" s="73" t="b">
        <f t="shared" si="1"/>
        <v>0</v>
      </c>
      <c r="B38" s="73">
        <v>36</v>
      </c>
      <c r="C38" s="89" t="s">
        <v>210</v>
      </c>
      <c r="D38" s="86">
        <v>4</v>
      </c>
      <c r="E38" s="87">
        <v>100</v>
      </c>
      <c r="F38" s="86">
        <v>1004.2</v>
      </c>
      <c r="G38" s="76">
        <f t="shared" si="2"/>
        <v>46078</v>
      </c>
      <c r="H38" s="77">
        <f t="shared" si="0"/>
        <v>0.52083333333333337</v>
      </c>
    </row>
    <row r="39" spans="1:8">
      <c r="A39" s="73" t="b">
        <f t="shared" si="1"/>
        <v>0</v>
      </c>
      <c r="B39" s="73">
        <v>37</v>
      </c>
      <c r="C39" s="89" t="s">
        <v>211</v>
      </c>
      <c r="D39" s="86">
        <v>4</v>
      </c>
      <c r="E39" s="87">
        <v>100</v>
      </c>
      <c r="F39" s="86">
        <v>1004.2</v>
      </c>
      <c r="G39" s="76">
        <f t="shared" si="2"/>
        <v>46078</v>
      </c>
      <c r="H39" s="77">
        <f t="shared" si="0"/>
        <v>0.5</v>
      </c>
    </row>
    <row r="40" spans="1:8">
      <c r="A40" s="73" t="b">
        <f t="shared" si="1"/>
        <v>0</v>
      </c>
      <c r="B40" s="73">
        <v>38</v>
      </c>
      <c r="C40" s="89" t="s">
        <v>212</v>
      </c>
      <c r="D40" s="86">
        <v>3</v>
      </c>
      <c r="E40" s="87">
        <v>100</v>
      </c>
      <c r="F40" s="86">
        <v>1004.2</v>
      </c>
      <c r="G40" s="76">
        <f t="shared" si="2"/>
        <v>46078</v>
      </c>
      <c r="H40" s="77">
        <f t="shared" si="0"/>
        <v>0.47916666666666669</v>
      </c>
    </row>
    <row r="41" spans="1:8">
      <c r="A41" s="73" t="b">
        <f t="shared" si="1"/>
        <v>0</v>
      </c>
      <c r="B41" s="73">
        <v>39</v>
      </c>
      <c r="C41" s="89" t="s">
        <v>213</v>
      </c>
      <c r="D41" s="86">
        <v>3</v>
      </c>
      <c r="E41" s="87">
        <v>100</v>
      </c>
      <c r="F41" s="86">
        <v>1004.2</v>
      </c>
      <c r="G41" s="76">
        <f t="shared" si="2"/>
        <v>46078</v>
      </c>
      <c r="H41" s="77">
        <f t="shared" si="0"/>
        <v>0.45833333333333331</v>
      </c>
    </row>
    <row r="42" spans="1:8">
      <c r="A42" s="73" t="b">
        <f t="shared" si="1"/>
        <v>0</v>
      </c>
      <c r="B42" s="73">
        <v>40</v>
      </c>
      <c r="C42" s="89" t="s">
        <v>214</v>
      </c>
      <c r="D42" s="86">
        <v>3</v>
      </c>
      <c r="E42" s="87">
        <v>100</v>
      </c>
      <c r="F42" s="86">
        <v>1004.2</v>
      </c>
      <c r="G42" s="76">
        <f t="shared" si="2"/>
        <v>46078</v>
      </c>
      <c r="H42" s="77">
        <f t="shared" si="0"/>
        <v>0.4375</v>
      </c>
    </row>
    <row r="43" spans="1:8">
      <c r="A43" s="73" t="b">
        <f t="shared" si="1"/>
        <v>0</v>
      </c>
      <c r="B43" s="73">
        <v>41</v>
      </c>
      <c r="C43" s="89" t="s">
        <v>215</v>
      </c>
      <c r="D43" s="86">
        <v>3</v>
      </c>
      <c r="E43" s="87">
        <v>100</v>
      </c>
      <c r="F43" s="86">
        <v>1004.2</v>
      </c>
      <c r="G43" s="76">
        <f t="shared" si="2"/>
        <v>46078</v>
      </c>
      <c r="H43" s="77">
        <f t="shared" si="0"/>
        <v>0.43541666666666662</v>
      </c>
    </row>
    <row r="44" spans="1:8">
      <c r="A44" s="73" t="b">
        <f t="shared" si="1"/>
        <v>0</v>
      </c>
      <c r="B44" s="73">
        <v>42</v>
      </c>
      <c r="C44" s="89" t="s">
        <v>216</v>
      </c>
      <c r="D44" s="86">
        <v>2</v>
      </c>
      <c r="E44" s="87">
        <v>100</v>
      </c>
      <c r="F44" s="86">
        <v>1004.1</v>
      </c>
      <c r="G44" s="76">
        <f t="shared" si="2"/>
        <v>46078</v>
      </c>
      <c r="H44" s="77">
        <f t="shared" si="0"/>
        <v>0.42708333333333331</v>
      </c>
    </row>
    <row r="45" spans="1:8">
      <c r="A45" s="73" t="b">
        <f t="shared" si="1"/>
        <v>0</v>
      </c>
      <c r="B45" s="73">
        <v>43</v>
      </c>
      <c r="C45" s="89" t="s">
        <v>217</v>
      </c>
      <c r="D45" s="86">
        <v>2</v>
      </c>
      <c r="E45" s="87">
        <v>100</v>
      </c>
      <c r="F45" s="86">
        <v>1004.1</v>
      </c>
      <c r="G45" s="76">
        <f t="shared" si="2"/>
        <v>46078</v>
      </c>
      <c r="H45" s="77">
        <f t="shared" si="0"/>
        <v>0.41666666666666669</v>
      </c>
    </row>
    <row r="46" spans="1:8">
      <c r="A46" s="73" t="b">
        <f t="shared" si="1"/>
        <v>0</v>
      </c>
      <c r="B46" s="73">
        <v>44</v>
      </c>
      <c r="C46" s="89" t="s">
        <v>218</v>
      </c>
      <c r="D46" s="86">
        <v>2</v>
      </c>
      <c r="E46" s="87">
        <v>100</v>
      </c>
      <c r="F46" s="86">
        <v>1004.1</v>
      </c>
      <c r="G46" s="76">
        <f t="shared" si="2"/>
        <v>46078</v>
      </c>
      <c r="H46" s="77">
        <f t="shared" si="0"/>
        <v>0.4145833333333333</v>
      </c>
    </row>
    <row r="47" spans="1:8">
      <c r="A47" s="73" t="b">
        <f t="shared" si="1"/>
        <v>0</v>
      </c>
      <c r="B47" s="73">
        <v>45</v>
      </c>
      <c r="C47" s="89" t="s">
        <v>219</v>
      </c>
      <c r="D47" s="86">
        <v>2</v>
      </c>
      <c r="E47" s="87">
        <v>100</v>
      </c>
      <c r="F47" s="86">
        <v>1004.1</v>
      </c>
      <c r="G47" s="76">
        <f t="shared" si="2"/>
        <v>46078</v>
      </c>
      <c r="H47" s="77">
        <f t="shared" si="0"/>
        <v>0.4069444444444445</v>
      </c>
    </row>
    <row r="48" spans="1:8">
      <c r="A48" s="73" t="b">
        <f t="shared" si="1"/>
        <v>0</v>
      </c>
      <c r="B48" s="73">
        <v>46</v>
      </c>
      <c r="C48" s="89" t="s">
        <v>220</v>
      </c>
      <c r="D48" s="86">
        <v>2</v>
      </c>
      <c r="E48" s="87">
        <v>100</v>
      </c>
      <c r="F48" s="86">
        <v>1004.1</v>
      </c>
      <c r="G48" s="76">
        <f t="shared" si="2"/>
        <v>46078</v>
      </c>
      <c r="H48" s="77">
        <f t="shared" si="0"/>
        <v>0.39583333333333331</v>
      </c>
    </row>
    <row r="49" spans="1:8">
      <c r="A49" s="73" t="b">
        <f t="shared" si="1"/>
        <v>0</v>
      </c>
      <c r="B49" s="73">
        <v>47</v>
      </c>
      <c r="C49" s="89" t="s">
        <v>221</v>
      </c>
      <c r="D49" s="86">
        <v>2</v>
      </c>
      <c r="E49" s="87">
        <v>100</v>
      </c>
      <c r="F49" s="86">
        <v>1004.1</v>
      </c>
      <c r="G49" s="76">
        <f t="shared" si="2"/>
        <v>46078</v>
      </c>
      <c r="H49" s="77">
        <f t="shared" si="0"/>
        <v>0.38472222222222219</v>
      </c>
    </row>
    <row r="50" spans="1:8">
      <c r="A50" s="73" t="b">
        <f t="shared" si="1"/>
        <v>0</v>
      </c>
      <c r="B50" s="73">
        <v>48</v>
      </c>
      <c r="C50" s="89" t="s">
        <v>222</v>
      </c>
      <c r="D50" s="86">
        <v>2</v>
      </c>
      <c r="E50" s="87">
        <v>100</v>
      </c>
      <c r="F50" s="86">
        <v>1004.1</v>
      </c>
      <c r="G50" s="76">
        <f t="shared" si="2"/>
        <v>46078</v>
      </c>
      <c r="H50" s="77">
        <f t="shared" si="0"/>
        <v>0.3833333333333333</v>
      </c>
    </row>
    <row r="51" spans="1:8">
      <c r="A51" s="73" t="b">
        <f t="shared" si="1"/>
        <v>0</v>
      </c>
      <c r="B51" s="73">
        <v>49</v>
      </c>
      <c r="C51" s="89" t="s">
        <v>223</v>
      </c>
      <c r="D51" s="86">
        <v>2</v>
      </c>
      <c r="E51" s="87">
        <v>100</v>
      </c>
      <c r="F51" s="86">
        <v>1004.1</v>
      </c>
      <c r="G51" s="76">
        <f t="shared" si="2"/>
        <v>46078</v>
      </c>
      <c r="H51" s="77">
        <f t="shared" si="0"/>
        <v>0.375</v>
      </c>
    </row>
    <row r="52" spans="1:8">
      <c r="A52" s="73" t="b">
        <f t="shared" si="1"/>
        <v>0</v>
      </c>
      <c r="B52" s="73">
        <v>50</v>
      </c>
      <c r="C52" s="89" t="s">
        <v>224</v>
      </c>
      <c r="D52" s="86">
        <v>2</v>
      </c>
      <c r="E52" s="87">
        <v>100</v>
      </c>
      <c r="F52" s="86">
        <v>1004.1</v>
      </c>
      <c r="G52" s="76">
        <f t="shared" si="2"/>
        <v>46078</v>
      </c>
      <c r="H52" s="77">
        <f t="shared" si="0"/>
        <v>0.37152777777777773</v>
      </c>
    </row>
    <row r="53" spans="1:8">
      <c r="A53" s="73" t="b">
        <f t="shared" si="1"/>
        <v>0</v>
      </c>
      <c r="B53" s="73">
        <v>51</v>
      </c>
      <c r="C53" s="89" t="s">
        <v>225</v>
      </c>
      <c r="D53" s="86">
        <v>2</v>
      </c>
      <c r="E53" s="87">
        <v>100</v>
      </c>
      <c r="F53" s="86">
        <v>1004.1</v>
      </c>
      <c r="G53" s="76">
        <f t="shared" si="2"/>
        <v>46078</v>
      </c>
      <c r="H53" s="77">
        <f t="shared" si="0"/>
        <v>0.35416666666666669</v>
      </c>
    </row>
    <row r="54" spans="1:8">
      <c r="A54" s="73" t="b">
        <f t="shared" si="1"/>
        <v>0</v>
      </c>
      <c r="B54" s="73">
        <v>52</v>
      </c>
      <c r="C54" s="89" t="s">
        <v>226</v>
      </c>
      <c r="D54" s="86">
        <v>2</v>
      </c>
      <c r="E54" s="87">
        <v>100</v>
      </c>
      <c r="F54" s="86">
        <v>1003.1</v>
      </c>
      <c r="G54" s="76">
        <f t="shared" si="2"/>
        <v>46078</v>
      </c>
      <c r="H54" s="77">
        <f t="shared" si="0"/>
        <v>0.33333333333333331</v>
      </c>
    </row>
    <row r="55" spans="1:8">
      <c r="A55" s="73" t="b">
        <f t="shared" si="1"/>
        <v>0</v>
      </c>
      <c r="B55" s="73">
        <v>53</v>
      </c>
      <c r="C55" s="89" t="s">
        <v>227</v>
      </c>
      <c r="D55" s="86">
        <v>4</v>
      </c>
      <c r="E55" s="87">
        <v>87</v>
      </c>
      <c r="F55" s="86">
        <v>1004.2</v>
      </c>
      <c r="G55" s="76">
        <f t="shared" si="2"/>
        <v>46077</v>
      </c>
      <c r="H55" s="77">
        <f t="shared" si="0"/>
        <v>0.72916666666666663</v>
      </c>
    </row>
    <row r="56" spans="1:8">
      <c r="A56" s="73" t="b">
        <f t="shared" si="1"/>
        <v>0</v>
      </c>
      <c r="B56" s="73">
        <v>54</v>
      </c>
      <c r="C56" s="89" t="s">
        <v>228</v>
      </c>
      <c r="D56" s="86">
        <v>4</v>
      </c>
      <c r="E56" s="87">
        <v>87</v>
      </c>
      <c r="F56" s="86">
        <v>1004.2</v>
      </c>
      <c r="G56" s="76">
        <f t="shared" si="2"/>
        <v>46077</v>
      </c>
      <c r="H56" s="77">
        <f t="shared" si="0"/>
        <v>0.70833333333333337</v>
      </c>
    </row>
    <row r="57" spans="1:8">
      <c r="A57" s="73" t="b">
        <f t="shared" si="1"/>
        <v>0</v>
      </c>
      <c r="B57" s="73">
        <v>55</v>
      </c>
      <c r="C57" s="89" t="s">
        <v>229</v>
      </c>
      <c r="D57" s="86">
        <v>5</v>
      </c>
      <c r="E57" s="87">
        <v>81</v>
      </c>
      <c r="F57" s="86">
        <v>1004.2</v>
      </c>
      <c r="G57" s="76">
        <f t="shared" si="2"/>
        <v>46077</v>
      </c>
      <c r="H57" s="77">
        <f t="shared" si="0"/>
        <v>0.6875</v>
      </c>
    </row>
    <row r="58" spans="1:8">
      <c r="A58" s="73" t="b">
        <f t="shared" si="1"/>
        <v>0</v>
      </c>
      <c r="B58" s="73">
        <v>56</v>
      </c>
      <c r="C58" s="89" t="s">
        <v>230</v>
      </c>
      <c r="D58" s="86">
        <v>4</v>
      </c>
      <c r="E58" s="87">
        <v>93</v>
      </c>
      <c r="F58" s="86">
        <v>1004.2</v>
      </c>
      <c r="G58" s="76">
        <f t="shared" si="2"/>
        <v>46077</v>
      </c>
      <c r="H58" s="77">
        <f t="shared" si="0"/>
        <v>0.66666666666666663</v>
      </c>
    </row>
    <row r="59" spans="1:8">
      <c r="A59" s="73" t="b">
        <f t="shared" si="1"/>
        <v>0</v>
      </c>
      <c r="B59" s="73">
        <v>57</v>
      </c>
      <c r="C59" s="89" t="s">
        <v>231</v>
      </c>
      <c r="D59" s="86">
        <v>5</v>
      </c>
      <c r="E59" s="87">
        <v>87</v>
      </c>
      <c r="F59" s="86">
        <v>1004.2</v>
      </c>
      <c r="G59" s="76">
        <f t="shared" si="2"/>
        <v>46077</v>
      </c>
      <c r="H59" s="77">
        <f t="shared" si="0"/>
        <v>0.64583333333333337</v>
      </c>
    </row>
    <row r="60" spans="1:8">
      <c r="A60" s="73" t="b">
        <f t="shared" si="1"/>
        <v>0</v>
      </c>
      <c r="B60" s="73">
        <v>58</v>
      </c>
      <c r="C60" s="89" t="s">
        <v>232</v>
      </c>
      <c r="D60" s="86">
        <v>5</v>
      </c>
      <c r="E60" s="87">
        <v>81</v>
      </c>
      <c r="F60" s="86">
        <v>1004.2</v>
      </c>
      <c r="G60" s="76">
        <f t="shared" si="2"/>
        <v>46077</v>
      </c>
      <c r="H60" s="77">
        <f t="shared" si="0"/>
        <v>0.625</v>
      </c>
    </row>
    <row r="61" spans="1:8">
      <c r="A61" s="73" t="b">
        <f t="shared" si="1"/>
        <v>0</v>
      </c>
      <c r="B61" s="73">
        <v>59</v>
      </c>
      <c r="C61" s="89" t="s">
        <v>233</v>
      </c>
      <c r="D61" s="86">
        <v>5</v>
      </c>
      <c r="E61" s="87">
        <v>76</v>
      </c>
      <c r="F61" s="86">
        <v>1004.2</v>
      </c>
      <c r="G61" s="76">
        <f t="shared" si="2"/>
        <v>46077</v>
      </c>
      <c r="H61" s="77">
        <f t="shared" si="0"/>
        <v>0.60416666666666663</v>
      </c>
    </row>
    <row r="62" spans="1:8">
      <c r="A62" s="73" t="b">
        <f t="shared" si="1"/>
        <v>0</v>
      </c>
      <c r="B62" s="73">
        <v>60</v>
      </c>
      <c r="C62" s="89" t="s">
        <v>234</v>
      </c>
      <c r="D62" s="86">
        <v>5</v>
      </c>
      <c r="E62" s="87">
        <v>76</v>
      </c>
      <c r="F62" s="86">
        <v>1004.2</v>
      </c>
      <c r="G62" s="76">
        <f t="shared" si="2"/>
        <v>46077</v>
      </c>
      <c r="H62" s="77">
        <f t="shared" si="0"/>
        <v>0.58333333333333337</v>
      </c>
    </row>
    <row r="63" spans="1:8">
      <c r="A63" s="73" t="b">
        <f t="shared" si="1"/>
        <v>0</v>
      </c>
      <c r="B63" s="73">
        <v>61</v>
      </c>
      <c r="C63" s="89" t="s">
        <v>235</v>
      </c>
      <c r="D63" s="86">
        <v>5</v>
      </c>
      <c r="E63" s="87">
        <v>70</v>
      </c>
      <c r="F63" s="86">
        <v>1004.2</v>
      </c>
      <c r="G63" s="76">
        <f t="shared" si="2"/>
        <v>46077</v>
      </c>
      <c r="H63" s="77">
        <f t="shared" si="0"/>
        <v>0.5625</v>
      </c>
    </row>
    <row r="64" spans="1:8">
      <c r="A64" s="73" t="b">
        <f t="shared" si="1"/>
        <v>0</v>
      </c>
      <c r="B64" s="73">
        <v>62</v>
      </c>
      <c r="C64" s="89" t="s">
        <v>236</v>
      </c>
      <c r="D64" s="86">
        <v>6</v>
      </c>
      <c r="E64" s="87">
        <v>71</v>
      </c>
      <c r="F64" s="86">
        <v>1004.2</v>
      </c>
      <c r="G64" s="76">
        <f t="shared" si="2"/>
        <v>46077</v>
      </c>
      <c r="H64" s="77">
        <f t="shared" si="0"/>
        <v>0.54166666666666663</v>
      </c>
    </row>
    <row r="65" spans="1:8">
      <c r="A65" s="73" t="b">
        <f t="shared" si="1"/>
        <v>0</v>
      </c>
      <c r="B65" s="73">
        <v>63</v>
      </c>
      <c r="C65" s="89" t="s">
        <v>237</v>
      </c>
      <c r="D65" s="86">
        <v>5</v>
      </c>
      <c r="E65" s="87">
        <v>76</v>
      </c>
      <c r="F65" s="86">
        <v>1005.3</v>
      </c>
      <c r="G65" s="76">
        <f t="shared" si="2"/>
        <v>46077</v>
      </c>
      <c r="H65" s="77">
        <f t="shared" si="0"/>
        <v>0.52083333333333337</v>
      </c>
    </row>
    <row r="66" spans="1:8">
      <c r="A66" s="73" t="b">
        <f t="shared" si="1"/>
        <v>0</v>
      </c>
      <c r="B66" s="73">
        <v>64</v>
      </c>
      <c r="C66" s="89" t="s">
        <v>238</v>
      </c>
      <c r="D66" s="86">
        <v>5</v>
      </c>
      <c r="E66" s="87">
        <v>76</v>
      </c>
      <c r="F66" s="86">
        <v>1005.3</v>
      </c>
      <c r="G66" s="76">
        <f t="shared" si="2"/>
        <v>46077</v>
      </c>
      <c r="H66" s="77">
        <f t="shared" si="0"/>
        <v>0.5</v>
      </c>
    </row>
    <row r="67" spans="1:8">
      <c r="A67" s="73" t="b">
        <f t="shared" si="1"/>
        <v>0</v>
      </c>
      <c r="B67" s="73">
        <v>65</v>
      </c>
      <c r="C67" s="89" t="s">
        <v>239</v>
      </c>
      <c r="D67" s="86">
        <v>4</v>
      </c>
      <c r="E67" s="87">
        <v>81</v>
      </c>
      <c r="F67" s="86">
        <v>1005.3</v>
      </c>
      <c r="G67" s="76">
        <f t="shared" si="2"/>
        <v>46077</v>
      </c>
      <c r="H67" s="77">
        <f t="shared" ref="H67:H83" si="3">VALUE(RIGHT(C67,5))</f>
        <v>0.47916666666666669</v>
      </c>
    </row>
    <row r="68" spans="1:8">
      <c r="A68" s="73" t="b">
        <f t="shared" ref="A68:A83" si="4">OR(VALUE(LEFT(RIGHT(C68,5),2))&gt;17,VALUE(LEFT(RIGHT(C68,5),2))&lt;8)</f>
        <v>0</v>
      </c>
      <c r="B68" s="73">
        <v>66</v>
      </c>
      <c r="C68" s="89" t="s">
        <v>240</v>
      </c>
      <c r="D68" s="86">
        <v>3</v>
      </c>
      <c r="E68" s="87">
        <v>87</v>
      </c>
      <c r="F68" s="86">
        <v>1005.1</v>
      </c>
      <c r="G68" s="76">
        <f t="shared" ref="G68:G83" si="5">VALUE(LEFT(C68,10))</f>
        <v>46077</v>
      </c>
      <c r="H68" s="77">
        <f t="shared" si="3"/>
        <v>0.45833333333333331</v>
      </c>
    </row>
    <row r="69" spans="1:8">
      <c r="A69" s="73" t="b">
        <f t="shared" si="4"/>
        <v>0</v>
      </c>
      <c r="B69" s="73">
        <v>67</v>
      </c>
      <c r="C69" s="89" t="s">
        <v>241</v>
      </c>
      <c r="D69" s="86">
        <v>3</v>
      </c>
      <c r="E69" s="87">
        <v>93</v>
      </c>
      <c r="F69" s="86">
        <v>1005.1</v>
      </c>
      <c r="G69" s="76">
        <f t="shared" si="5"/>
        <v>46077</v>
      </c>
      <c r="H69" s="77">
        <f t="shared" si="3"/>
        <v>0.4375</v>
      </c>
    </row>
    <row r="70" spans="1:8">
      <c r="A70" s="73" t="b">
        <f t="shared" si="4"/>
        <v>0</v>
      </c>
      <c r="B70" s="73">
        <v>68</v>
      </c>
      <c r="C70" s="89" t="s">
        <v>242</v>
      </c>
      <c r="D70" s="86">
        <v>2</v>
      </c>
      <c r="E70" s="87">
        <v>100</v>
      </c>
      <c r="F70" s="86">
        <v>1005.1</v>
      </c>
      <c r="G70" s="76">
        <f t="shared" si="5"/>
        <v>46077</v>
      </c>
      <c r="H70" s="77">
        <f t="shared" si="3"/>
        <v>0.41666666666666669</v>
      </c>
    </row>
    <row r="71" spans="1:8">
      <c r="A71" s="73" t="b">
        <f t="shared" si="4"/>
        <v>0</v>
      </c>
      <c r="B71" s="73">
        <v>69</v>
      </c>
      <c r="C71" s="89" t="s">
        <v>243</v>
      </c>
      <c r="D71" s="86">
        <v>1</v>
      </c>
      <c r="E71" s="87">
        <v>100</v>
      </c>
      <c r="F71" s="86">
        <v>1005.1</v>
      </c>
      <c r="G71" s="76">
        <f t="shared" si="5"/>
        <v>46077</v>
      </c>
      <c r="H71" s="77">
        <f t="shared" si="3"/>
        <v>0.39583333333333331</v>
      </c>
    </row>
    <row r="72" spans="1:8">
      <c r="A72" s="73" t="b">
        <f t="shared" si="4"/>
        <v>0</v>
      </c>
      <c r="B72" s="73">
        <v>70</v>
      </c>
      <c r="C72" s="89" t="s">
        <v>244</v>
      </c>
      <c r="D72" s="86">
        <v>1</v>
      </c>
      <c r="E72" s="87">
        <v>100</v>
      </c>
      <c r="F72" s="86">
        <v>1005.1</v>
      </c>
      <c r="G72" s="76">
        <f t="shared" si="5"/>
        <v>46077</v>
      </c>
      <c r="H72" s="77">
        <f t="shared" si="3"/>
        <v>0.375</v>
      </c>
    </row>
    <row r="73" spans="1:8">
      <c r="A73" s="73" t="b">
        <f t="shared" si="4"/>
        <v>0</v>
      </c>
      <c r="B73" s="73">
        <v>71</v>
      </c>
      <c r="C73" s="89" t="s">
        <v>245</v>
      </c>
      <c r="D73" s="86">
        <v>1</v>
      </c>
      <c r="E73" s="87">
        <v>100</v>
      </c>
      <c r="F73" s="86">
        <v>1005.1</v>
      </c>
      <c r="G73" s="76">
        <f t="shared" si="5"/>
        <v>46077</v>
      </c>
      <c r="H73" s="77">
        <f t="shared" si="3"/>
        <v>0.37361111111111112</v>
      </c>
    </row>
    <row r="74" spans="1:8">
      <c r="A74" s="73" t="b">
        <f t="shared" si="4"/>
        <v>0</v>
      </c>
      <c r="B74" s="73">
        <v>72</v>
      </c>
      <c r="C74" s="89" t="s">
        <v>246</v>
      </c>
      <c r="D74" s="86">
        <v>1</v>
      </c>
      <c r="E74" s="87">
        <v>100</v>
      </c>
      <c r="F74" s="86">
        <v>1005.1</v>
      </c>
      <c r="G74" s="76">
        <f t="shared" si="5"/>
        <v>46077</v>
      </c>
      <c r="H74" s="77">
        <f t="shared" si="3"/>
        <v>0.36527777777777781</v>
      </c>
    </row>
    <row r="75" spans="1:8">
      <c r="A75" s="73" t="b">
        <f t="shared" si="4"/>
        <v>0</v>
      </c>
      <c r="B75" s="73">
        <v>73</v>
      </c>
      <c r="C75" s="89" t="s">
        <v>247</v>
      </c>
      <c r="D75" s="86">
        <v>1</v>
      </c>
      <c r="E75" s="87">
        <v>100</v>
      </c>
      <c r="F75" s="86">
        <v>1005.1</v>
      </c>
      <c r="G75" s="76">
        <f t="shared" si="5"/>
        <v>46077</v>
      </c>
      <c r="H75" s="77">
        <f t="shared" si="3"/>
        <v>0.36319444444444443</v>
      </c>
    </row>
    <row r="76" spans="1:8">
      <c r="A76" s="73" t="b">
        <f t="shared" si="4"/>
        <v>0</v>
      </c>
      <c r="B76" s="73">
        <v>74</v>
      </c>
      <c r="C76" s="89" t="s">
        <v>248</v>
      </c>
      <c r="D76" s="86">
        <v>1</v>
      </c>
      <c r="E76" s="87">
        <v>100</v>
      </c>
      <c r="F76" s="86">
        <v>1005.1</v>
      </c>
      <c r="G76" s="76">
        <f t="shared" si="5"/>
        <v>46077</v>
      </c>
      <c r="H76" s="77">
        <f t="shared" si="3"/>
        <v>0.36180555555555555</v>
      </c>
    </row>
    <row r="77" spans="1:8">
      <c r="A77" s="73" t="b">
        <f t="shared" si="4"/>
        <v>0</v>
      </c>
      <c r="B77" s="73">
        <v>75</v>
      </c>
      <c r="C77" s="89" t="s">
        <v>249</v>
      </c>
      <c r="D77" s="86">
        <v>1</v>
      </c>
      <c r="E77" s="87">
        <v>100</v>
      </c>
      <c r="F77" s="86">
        <v>1005.1</v>
      </c>
      <c r="G77" s="76">
        <f t="shared" si="5"/>
        <v>46077</v>
      </c>
      <c r="H77" s="77">
        <f t="shared" si="3"/>
        <v>0.36041666666666666</v>
      </c>
    </row>
    <row r="78" spans="1:8">
      <c r="A78" s="73" t="b">
        <f t="shared" si="4"/>
        <v>0</v>
      </c>
      <c r="B78" s="73">
        <v>76</v>
      </c>
      <c r="C78" s="89" t="s">
        <v>250</v>
      </c>
      <c r="D78" s="86">
        <v>1</v>
      </c>
      <c r="E78" s="87">
        <v>100</v>
      </c>
      <c r="F78" s="86">
        <v>1005.1</v>
      </c>
      <c r="G78" s="76">
        <f t="shared" si="5"/>
        <v>46077</v>
      </c>
      <c r="H78" s="77">
        <f t="shared" si="3"/>
        <v>0.3576388888888889</v>
      </c>
    </row>
    <row r="79" spans="1:8">
      <c r="A79" s="73" t="b">
        <f t="shared" si="4"/>
        <v>0</v>
      </c>
      <c r="B79" s="73">
        <v>77</v>
      </c>
      <c r="C79" s="89" t="s">
        <v>251</v>
      </c>
      <c r="D79" s="86">
        <v>1</v>
      </c>
      <c r="E79" s="87">
        <v>100</v>
      </c>
      <c r="F79" s="86">
        <v>1005.1</v>
      </c>
      <c r="G79" s="76">
        <f t="shared" si="5"/>
        <v>46077</v>
      </c>
      <c r="H79" s="77">
        <f t="shared" si="3"/>
        <v>0.35694444444444445</v>
      </c>
    </row>
    <row r="80" spans="1:8">
      <c r="A80" s="73" t="b">
        <f t="shared" si="4"/>
        <v>0</v>
      </c>
      <c r="B80" s="73">
        <v>78</v>
      </c>
      <c r="C80" s="89" t="s">
        <v>252</v>
      </c>
      <c r="D80" s="86">
        <v>1</v>
      </c>
      <c r="E80" s="87">
        <v>100</v>
      </c>
      <c r="F80" s="86">
        <v>1006.1</v>
      </c>
      <c r="G80" s="76">
        <f t="shared" si="5"/>
        <v>46077</v>
      </c>
      <c r="H80" s="77">
        <f t="shared" si="3"/>
        <v>0.35416666666666669</v>
      </c>
    </row>
    <row r="81" spans="1:8">
      <c r="A81" s="73" t="b">
        <f t="shared" si="4"/>
        <v>0</v>
      </c>
      <c r="B81" s="73">
        <v>79</v>
      </c>
      <c r="C81" s="89" t="s">
        <v>253</v>
      </c>
      <c r="D81" s="86">
        <v>1</v>
      </c>
      <c r="E81" s="87">
        <v>100</v>
      </c>
      <c r="F81" s="86">
        <v>1005.1</v>
      </c>
      <c r="G81" s="76">
        <f t="shared" si="5"/>
        <v>46077</v>
      </c>
      <c r="H81" s="77">
        <f t="shared" si="3"/>
        <v>0.34791666666666665</v>
      </c>
    </row>
    <row r="82" spans="1:8">
      <c r="A82" s="73" t="b">
        <f t="shared" si="4"/>
        <v>0</v>
      </c>
      <c r="B82" s="73">
        <v>80</v>
      </c>
      <c r="C82" s="89" t="s">
        <v>254</v>
      </c>
      <c r="D82" s="86">
        <v>1</v>
      </c>
      <c r="E82" s="87">
        <v>100</v>
      </c>
      <c r="F82" s="86">
        <v>1005.1</v>
      </c>
      <c r="G82" s="76">
        <f t="shared" si="5"/>
        <v>46077</v>
      </c>
      <c r="H82" s="77">
        <f t="shared" si="3"/>
        <v>0.33749999999999997</v>
      </c>
    </row>
    <row r="83" spans="1:8">
      <c r="A83" s="73" t="b">
        <f t="shared" si="4"/>
        <v>0</v>
      </c>
      <c r="B83" s="73">
        <v>81</v>
      </c>
      <c r="C83" s="89" t="s">
        <v>255</v>
      </c>
      <c r="D83" s="86">
        <v>1</v>
      </c>
      <c r="E83" s="87">
        <v>100</v>
      </c>
      <c r="F83" s="86">
        <v>1005.1</v>
      </c>
      <c r="G83" s="76">
        <f t="shared" si="5"/>
        <v>46077</v>
      </c>
      <c r="H83" s="77">
        <f t="shared" si="3"/>
        <v>0.33333333333333331</v>
      </c>
    </row>
  </sheetData>
  <mergeCells count="5">
    <mergeCell ref="B1:H1"/>
    <mergeCell ref="J1:O1"/>
    <mergeCell ref="Q1:U1"/>
    <mergeCell ref="A1:A2"/>
    <mergeCell ref="W1:AA1"/>
  </mergeCells>
  <conditionalFormatting sqref="A1:A1048576">
    <cfRule type="containsText" dxfId="0" priority="1" operator="containsText" text="ИСТИНА">
      <formula>NOT(ISERROR(SEARCH("ИСТИНА",A1)))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ТКА ПКЛ</vt:lpstr>
      <vt:lpstr>ТКА ПКЛкорректир</vt:lpstr>
      <vt:lpstr>Архив Погоды rp5</vt:lpstr>
      <vt:lpstr>Метео</vt:lpstr>
    </vt:vector>
  </TitlesOfParts>
  <Company>Privod-N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P.</dc:creator>
  <cp:lastModifiedBy>Tester</cp:lastModifiedBy>
  <dcterms:created xsi:type="dcterms:W3CDTF">2024-10-28T05:01:23Z</dcterms:created>
  <dcterms:modified xsi:type="dcterms:W3CDTF">2026-07-01T11:44:31Z</dcterms:modified>
</cp:coreProperties>
</file>